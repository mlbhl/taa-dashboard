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 기준" sheetId="1" state="visible" r:id="rId1"/>
    <sheet xmlns:r="http://schemas.openxmlformats.org/officeDocument/2006/relationships" name="가중 평균 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;-0.00;0.00"/>
  </numFmts>
  <fonts count="9">
    <font>
      <name val="Calibri"/>
      <family val="2"/>
      <color theme="1"/>
      <sz val="11"/>
      <scheme val="minor"/>
    </font>
    <font>
      <name val="맑은 고딕"/>
      <b val="1"/>
      <color rgb="001E293B"/>
      <sz val="14"/>
    </font>
    <font>
      <name val="맑은 고딕"/>
      <b val="1"/>
      <color rgb="006366F1"/>
      <sz val="11"/>
    </font>
    <font>
      <name val="맑은 고딕"/>
      <color rgb="001E293B"/>
      <sz val="10"/>
    </font>
    <font>
      <name val="맑은 고딕"/>
      <b val="1"/>
      <color rgb="006366F1"/>
      <sz val="10"/>
    </font>
    <font>
      <name val="맑은 고딕"/>
      <color rgb="0094A3B8"/>
      <sz val="9"/>
    </font>
    <font>
      <name val="맑은 고딕"/>
      <b val="1"/>
      <color rgb="00475569"/>
      <sz val="10"/>
    </font>
    <font>
      <name val="맑은 고딕"/>
      <b val="1"/>
      <sz val="10"/>
    </font>
    <font>
      <name val="맑은 고딕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</fills>
  <borders count="4">
    <border>
      <left/>
      <right/>
      <top/>
      <bottom/>
      <diagonal/>
    </border>
    <border>
      <bottom style="medium">
        <color rgb="00CBD5E1"/>
      </bottom>
    </border>
    <border>
      <bottom style="thin">
        <color rgb="00E2E8F0"/>
      </bottom>
    </border>
    <border>
      <top style="medium">
        <color rgb="00CBD5E1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4" fillId="2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4" fillId="0" borderId="2" pivotButton="0" quotePrefix="0" xfId="0"/>
    <xf numFmtId="0" fontId="7" fillId="0" borderId="2" pivotButton="0" quotePrefix="0" xfId="0"/>
    <xf numFmtId="164" fontId="3" fillId="2" borderId="2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2" fontId="7" fillId="4" borderId="2" applyAlignment="1" pivotButton="0" quotePrefix="0" xfId="0">
      <alignment horizontal="center"/>
    </xf>
    <xf numFmtId="0" fontId="7" fillId="0" borderId="0" pivotButton="0" quotePrefix="0" xfId="0"/>
    <xf numFmtId="164" fontId="7" fillId="0" borderId="3" applyAlignment="1" pivotButton="0" quotePrefix="0" xfId="0">
      <alignment horizontal="center"/>
    </xf>
    <xf numFmtId="2" fontId="0" fillId="4" borderId="2" applyAlignment="1" pivotButton="0" quotePrefix="0" xfId="0">
      <alignment horizontal="center"/>
    </xf>
    <xf numFmtId="2" fontId="0" fillId="2" borderId="2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53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B1" s="1" t="inlineStr">
        <is>
          <t>TAA Dashboard — Peer 기준 (비대칭 Tilt)</t>
        </is>
      </c>
    </row>
    <row r="3">
      <c r="B3" s="2" t="inlineStr">
        <is>
          <t>Parameters</t>
        </is>
      </c>
      <c r="H3" s="2" t="inlineStr">
        <is>
          <t>TAA Signal 매핑</t>
        </is>
      </c>
    </row>
    <row r="4">
      <c r="B4" s="3" t="inlineStr">
        <is>
          <t>α (확신도)</t>
        </is>
      </c>
      <c r="C4" s="4" t="n">
        <v>0.5</v>
      </c>
      <c r="E4" s="5" t="inlineStr">
        <is>
          <t>← 0~1 (보수적 → 적극적)</t>
        </is>
      </c>
      <c r="H4" s="3" t="inlineStr">
        <is>
          <t>Strong OW</t>
        </is>
      </c>
      <c r="I4" s="6" t="n">
        <v>2</v>
      </c>
    </row>
    <row r="5">
      <c r="B5" s="3" t="inlineStr">
        <is>
          <t>Damping (반대방향)</t>
        </is>
      </c>
      <c r="C5" s="4" t="n">
        <v>0.25</v>
      </c>
      <c r="E5" s="5" t="inlineStr">
        <is>
          <t>← 0~1 (0=강한억제, 1=억제없음)</t>
        </is>
      </c>
      <c r="H5" s="3" t="inlineStr">
        <is>
          <t>Overweight</t>
        </is>
      </c>
      <c r="I5" s="6" t="n">
        <v>1</v>
      </c>
    </row>
    <row r="6">
      <c r="B6" s="3" t="inlineStr">
        <is>
          <t>Min Tilt Rate</t>
        </is>
      </c>
      <c r="C6" s="4" t="n">
        <v>0.2</v>
      </c>
      <c r="E6" s="5" t="inlineStr">
        <is>
          <t>← gap=0일 때 최소 Tilt 보장율</t>
        </is>
      </c>
      <c r="H6" s="3" t="inlineStr">
        <is>
          <t>Neutral</t>
        </is>
      </c>
      <c r="I6" s="6" t="n">
        <v>0</v>
      </c>
    </row>
    <row r="7">
      <c r="H7" s="3" t="inlineStr">
        <is>
          <t>Underweight</t>
        </is>
      </c>
      <c r="I7" s="6" t="n">
        <v>-1</v>
      </c>
    </row>
    <row r="8">
      <c r="H8" s="3" t="inlineStr">
        <is>
          <t>Strong UW</t>
        </is>
      </c>
      <c r="I8" s="6" t="n">
        <v>-2</v>
      </c>
    </row>
    <row r="9">
      <c r="B9" s="2" t="inlineStr">
        <is>
          <t>Region Inputs</t>
        </is>
      </c>
    </row>
    <row r="10">
      <c r="B10" s="7" t="inlineStr">
        <is>
          <t>자산</t>
        </is>
      </c>
      <c r="C10" s="7" t="inlineStr">
        <is>
          <t>지역</t>
        </is>
      </c>
      <c r="D10" s="7" t="inlineStr">
        <is>
          <t>SAA(%)</t>
        </is>
      </c>
      <c r="E10" s="7" t="inlineStr">
        <is>
          <t>Peer(%)</t>
        </is>
      </c>
      <c r="F10" s="7" t="inlineStr">
        <is>
          <t>TAA</t>
        </is>
      </c>
    </row>
    <row r="11">
      <c r="B11" s="8" t="inlineStr">
        <is>
          <t>주식</t>
        </is>
      </c>
      <c r="C11" s="9" t="inlineStr">
        <is>
          <t>미국</t>
        </is>
      </c>
      <c r="D11" s="10" t="n">
        <v>49</v>
      </c>
      <c r="E11" s="10" t="n">
        <v>45.5</v>
      </c>
      <c r="F11" s="11" t="inlineStr">
        <is>
          <t>Neutral</t>
        </is>
      </c>
    </row>
    <row r="12">
      <c r="B12" s="8" t="inlineStr">
        <is>
          <t>주식</t>
        </is>
      </c>
      <c r="C12" s="9" t="inlineStr">
        <is>
          <t>유럽</t>
        </is>
      </c>
      <c r="D12" s="10" t="n">
        <v>10.5</v>
      </c>
      <c r="E12" s="10" t="n">
        <v>12.6</v>
      </c>
      <c r="F12" s="11" t="inlineStr">
        <is>
          <t>Neutral</t>
        </is>
      </c>
    </row>
    <row r="13">
      <c r="B13" s="8" t="inlineStr">
        <is>
          <t>주식</t>
        </is>
      </c>
      <c r="C13" s="9" t="inlineStr">
        <is>
          <t>일본</t>
        </is>
      </c>
      <c r="D13" s="10" t="n">
        <v>3.5</v>
      </c>
      <c r="E13" s="10" t="n">
        <v>3.5</v>
      </c>
      <c r="F13" s="11" t="inlineStr">
        <is>
          <t>Neutral</t>
        </is>
      </c>
    </row>
    <row r="14">
      <c r="B14" s="8" t="inlineStr">
        <is>
          <t>주식</t>
        </is>
      </c>
      <c r="C14" s="9" t="inlineStr">
        <is>
          <t>중국</t>
        </is>
      </c>
      <c r="D14" s="10" t="n">
        <v>2.1</v>
      </c>
      <c r="E14" s="10" t="n">
        <v>3.5</v>
      </c>
      <c r="F14" s="11" t="inlineStr">
        <is>
          <t>Neutral</t>
        </is>
      </c>
    </row>
    <row r="15">
      <c r="B15" s="8" t="inlineStr">
        <is>
          <t>주식</t>
        </is>
      </c>
      <c r="C15" s="9" t="inlineStr">
        <is>
          <t>한국</t>
        </is>
      </c>
      <c r="D15" s="10" t="n">
        <v>3.5</v>
      </c>
      <c r="E15" s="10" t="n">
        <v>2.1</v>
      </c>
      <c r="F15" s="11" t="inlineStr">
        <is>
          <t>Neutral</t>
        </is>
      </c>
    </row>
    <row r="16">
      <c r="B16" s="8" t="inlineStr">
        <is>
          <t>주식</t>
        </is>
      </c>
      <c r="C16" s="9" t="inlineStr">
        <is>
          <t>기타</t>
        </is>
      </c>
      <c r="D16" s="10" t="n">
        <v>1.4</v>
      </c>
      <c r="E16" s="10" t="n">
        <v>2.8</v>
      </c>
      <c r="F16" s="11" t="inlineStr">
        <is>
          <t>Neutral</t>
        </is>
      </c>
    </row>
    <row r="17">
      <c r="B17" s="8" t="inlineStr">
        <is>
          <t>채권</t>
        </is>
      </c>
      <c r="C17" s="9" t="inlineStr">
        <is>
          <t>미국</t>
        </is>
      </c>
      <c r="D17" s="10" t="n">
        <v>21</v>
      </c>
      <c r="E17" s="10" t="n">
        <v>18</v>
      </c>
      <c r="F17" s="11" t="inlineStr">
        <is>
          <t>Neutral</t>
        </is>
      </c>
    </row>
    <row r="18">
      <c r="B18" s="8" t="inlineStr">
        <is>
          <t>채권</t>
        </is>
      </c>
      <c r="C18" s="9" t="inlineStr">
        <is>
          <t>한국</t>
        </is>
      </c>
      <c r="D18" s="10" t="n">
        <v>9</v>
      </c>
      <c r="E18" s="10" t="n">
        <v>12</v>
      </c>
      <c r="F18" s="11" t="inlineStr">
        <is>
          <t>Neutral</t>
        </is>
      </c>
    </row>
    <row r="20">
      <c r="B20" s="2" t="inlineStr">
        <is>
          <t>Calculation</t>
        </is>
      </c>
    </row>
    <row r="21">
      <c r="B21" s="7" t="inlineStr">
        <is>
          <t>자산</t>
        </is>
      </c>
      <c r="C21" s="7" t="inlineStr">
        <is>
          <t>지역</t>
        </is>
      </c>
      <c r="D21" s="7" t="inlineStr">
        <is>
          <t>SAA</t>
        </is>
      </c>
      <c r="E21" s="7" t="inlineStr">
        <is>
          <t>Peer</t>
        </is>
      </c>
      <c r="F21" s="7" t="inlineStr">
        <is>
          <t>Signal</t>
        </is>
      </c>
      <c r="G21" s="7" t="inlineStr">
        <is>
          <t>Gap</t>
        </is>
      </c>
      <c r="H21" s="7" t="inlineStr">
        <is>
          <t>Aligned?</t>
        </is>
      </c>
      <c r="I21" s="7" t="inlineStr">
        <is>
          <t>Damping</t>
        </is>
      </c>
      <c r="J21" s="7" t="inlineStr">
        <is>
          <t>Min Tilt</t>
        </is>
      </c>
      <c r="K21" s="7" t="inlineStr">
        <is>
          <t>Tilt</t>
        </is>
      </c>
      <c r="L21" s="7" t="inlineStr">
        <is>
          <t>Adj</t>
        </is>
      </c>
      <c r="M21" s="7" t="inlineStr">
        <is>
          <t>Raw</t>
        </is>
      </c>
      <c r="N21" s="7" t="inlineStr">
        <is>
          <t>Final(%)</t>
        </is>
      </c>
      <c r="O21" s="7" t="inlineStr">
        <is>
          <t>vs Peer</t>
        </is>
      </c>
    </row>
    <row r="22">
      <c r="B22" s="12">
        <f>B11</f>
        <v/>
      </c>
      <c r="C22" s="13">
        <f>C11</f>
        <v/>
      </c>
      <c r="D22" s="14">
        <f>D11</f>
        <v/>
      </c>
      <c r="E22" s="14">
        <f>E11</f>
        <v/>
      </c>
      <c r="F22" s="15">
        <f>IF(F11="Strong OW",2,IF(F11="Overweight",1,IF(F11="Neutral",0,IF(F11="Underweight",-1,IF(F11="Strong UW",-2,0)))))</f>
        <v/>
      </c>
      <c r="G22" s="16">
        <f>D22-E22</f>
        <v/>
      </c>
      <c r="H22" s="15">
        <f>IF(F22*G22&gt;=0,1,0)</f>
        <v/>
      </c>
      <c r="I22" s="16">
        <f>H22*(1-$C$5)+$C$5</f>
        <v/>
      </c>
      <c r="J22" s="16">
        <f>E22*$C$6</f>
        <v/>
      </c>
      <c r="K22" s="16">
        <f>IF(G22=0, J22, ABS(G22)*I22)</f>
        <v/>
      </c>
      <c r="L22" s="17">
        <f>$C$4*F22*K22</f>
        <v/>
      </c>
      <c r="M22" s="16">
        <f>MAX(E22+L22, 1.0)</f>
        <v/>
      </c>
      <c r="N22" s="18">
        <f>ROUND(M22/SUM(M22:M29)*100, 2)</f>
        <v/>
      </c>
      <c r="O22" s="17">
        <f>ROUND(N22-E22, 2)</f>
        <v/>
      </c>
    </row>
    <row r="23">
      <c r="B23" s="12">
        <f>B12</f>
        <v/>
      </c>
      <c r="C23" s="13">
        <f>C12</f>
        <v/>
      </c>
      <c r="D23" s="14">
        <f>D12</f>
        <v/>
      </c>
      <c r="E23" s="14">
        <f>E12</f>
        <v/>
      </c>
      <c r="F23" s="15">
        <f>IF(F12="Strong OW",2,IF(F12="Overweight",1,IF(F12="Neutral",0,IF(F12="Underweight",-1,IF(F12="Strong UW",-2,0)))))</f>
        <v/>
      </c>
      <c r="G23" s="16">
        <f>D23-E23</f>
        <v/>
      </c>
      <c r="H23" s="15">
        <f>IF(F23*G23&gt;=0,1,0)</f>
        <v/>
      </c>
      <c r="I23" s="16">
        <f>H23*(1-$C$5)+$C$5</f>
        <v/>
      </c>
      <c r="J23" s="16">
        <f>E23*$C$6</f>
        <v/>
      </c>
      <c r="K23" s="16">
        <f>IF(G23=0, J23, ABS(G23)*I23)</f>
        <v/>
      </c>
      <c r="L23" s="17">
        <f>$C$4*F23*K23</f>
        <v/>
      </c>
      <c r="M23" s="16">
        <f>MAX(E23+L23, 1.0)</f>
        <v/>
      </c>
      <c r="N23" s="18">
        <f>ROUND(M23/SUM(M22:M29)*100, 2)</f>
        <v/>
      </c>
      <c r="O23" s="17">
        <f>ROUND(N23-E23, 2)</f>
        <v/>
      </c>
    </row>
    <row r="24">
      <c r="B24" s="12">
        <f>B13</f>
        <v/>
      </c>
      <c r="C24" s="13">
        <f>C13</f>
        <v/>
      </c>
      <c r="D24" s="14">
        <f>D13</f>
        <v/>
      </c>
      <c r="E24" s="14">
        <f>E13</f>
        <v/>
      </c>
      <c r="F24" s="15">
        <f>IF(F13="Strong OW",2,IF(F13="Overweight",1,IF(F13="Neutral",0,IF(F13="Underweight",-1,IF(F13="Strong UW",-2,0)))))</f>
        <v/>
      </c>
      <c r="G24" s="16">
        <f>D24-E24</f>
        <v/>
      </c>
      <c r="H24" s="15">
        <f>IF(F24*G24&gt;=0,1,0)</f>
        <v/>
      </c>
      <c r="I24" s="16">
        <f>H24*(1-$C$5)+$C$5</f>
        <v/>
      </c>
      <c r="J24" s="16">
        <f>E24*$C$6</f>
        <v/>
      </c>
      <c r="K24" s="16">
        <f>IF(G24=0, J24, ABS(G24)*I24)</f>
        <v/>
      </c>
      <c r="L24" s="17">
        <f>$C$4*F24*K24</f>
        <v/>
      </c>
      <c r="M24" s="16">
        <f>MAX(E24+L24, 1.0)</f>
        <v/>
      </c>
      <c r="N24" s="18">
        <f>ROUND(M24/SUM(M22:M29)*100, 2)</f>
        <v/>
      </c>
      <c r="O24" s="17">
        <f>ROUND(N24-E24, 2)</f>
        <v/>
      </c>
    </row>
    <row r="25">
      <c r="B25" s="12">
        <f>B14</f>
        <v/>
      </c>
      <c r="C25" s="13">
        <f>C14</f>
        <v/>
      </c>
      <c r="D25" s="14">
        <f>D14</f>
        <v/>
      </c>
      <c r="E25" s="14">
        <f>E14</f>
        <v/>
      </c>
      <c r="F25" s="15">
        <f>IF(F14="Strong OW",2,IF(F14="Overweight",1,IF(F14="Neutral",0,IF(F14="Underweight",-1,IF(F14="Strong UW",-2,0)))))</f>
        <v/>
      </c>
      <c r="G25" s="16">
        <f>D25-E25</f>
        <v/>
      </c>
      <c r="H25" s="15">
        <f>IF(F25*G25&gt;=0,1,0)</f>
        <v/>
      </c>
      <c r="I25" s="16">
        <f>H25*(1-$C$5)+$C$5</f>
        <v/>
      </c>
      <c r="J25" s="16">
        <f>E25*$C$6</f>
        <v/>
      </c>
      <c r="K25" s="16">
        <f>IF(G25=0, J25, ABS(G25)*I25)</f>
        <v/>
      </c>
      <c r="L25" s="17">
        <f>$C$4*F25*K25</f>
        <v/>
      </c>
      <c r="M25" s="16">
        <f>MAX(E25+L25, 1.0)</f>
        <v/>
      </c>
      <c r="N25" s="18">
        <f>ROUND(M25/SUM(M22:M29)*100, 2)</f>
        <v/>
      </c>
      <c r="O25" s="17">
        <f>ROUND(N25-E25, 2)</f>
        <v/>
      </c>
    </row>
    <row r="26">
      <c r="B26" s="12">
        <f>B15</f>
        <v/>
      </c>
      <c r="C26" s="13">
        <f>C15</f>
        <v/>
      </c>
      <c r="D26" s="14">
        <f>D15</f>
        <v/>
      </c>
      <c r="E26" s="14">
        <f>E15</f>
        <v/>
      </c>
      <c r="F26" s="15">
        <f>IF(F15="Strong OW",2,IF(F15="Overweight",1,IF(F15="Neutral",0,IF(F15="Underweight",-1,IF(F15="Strong UW",-2,0)))))</f>
        <v/>
      </c>
      <c r="G26" s="16">
        <f>D26-E26</f>
        <v/>
      </c>
      <c r="H26" s="15">
        <f>IF(F26*G26&gt;=0,1,0)</f>
        <v/>
      </c>
      <c r="I26" s="16">
        <f>H26*(1-$C$5)+$C$5</f>
        <v/>
      </c>
      <c r="J26" s="16">
        <f>E26*$C$6</f>
        <v/>
      </c>
      <c r="K26" s="16">
        <f>IF(G26=0, J26, ABS(G26)*I26)</f>
        <v/>
      </c>
      <c r="L26" s="17">
        <f>$C$4*F26*K26</f>
        <v/>
      </c>
      <c r="M26" s="16">
        <f>MAX(E26+L26, 1.0)</f>
        <v/>
      </c>
      <c r="N26" s="18">
        <f>ROUND(M26/SUM(M22:M29)*100, 2)</f>
        <v/>
      </c>
      <c r="O26" s="17">
        <f>ROUND(N26-E26, 2)</f>
        <v/>
      </c>
    </row>
    <row r="27">
      <c r="B27" s="12">
        <f>B16</f>
        <v/>
      </c>
      <c r="C27" s="13">
        <f>C16</f>
        <v/>
      </c>
      <c r="D27" s="14">
        <f>D16</f>
        <v/>
      </c>
      <c r="E27" s="14">
        <f>E16</f>
        <v/>
      </c>
      <c r="F27" s="15">
        <f>IF(F16="Strong OW",2,IF(F16="Overweight",1,IF(F16="Neutral",0,IF(F16="Underweight",-1,IF(F16="Strong UW",-2,0)))))</f>
        <v/>
      </c>
      <c r="G27" s="16">
        <f>D27-E27</f>
        <v/>
      </c>
      <c r="H27" s="15">
        <f>IF(F27*G27&gt;=0,1,0)</f>
        <v/>
      </c>
      <c r="I27" s="16">
        <f>H27*(1-$C$5)+$C$5</f>
        <v/>
      </c>
      <c r="J27" s="16">
        <f>E27*$C$6</f>
        <v/>
      </c>
      <c r="K27" s="16">
        <f>IF(G27=0, J27, ABS(G27)*I27)</f>
        <v/>
      </c>
      <c r="L27" s="17">
        <f>$C$4*F27*K27</f>
        <v/>
      </c>
      <c r="M27" s="16">
        <f>MAX(E27+L27, 1.0)</f>
        <v/>
      </c>
      <c r="N27" s="18">
        <f>ROUND(M27/SUM(M22:M29)*100, 2)</f>
        <v/>
      </c>
      <c r="O27" s="17">
        <f>ROUND(N27-E27, 2)</f>
        <v/>
      </c>
    </row>
    <row r="28">
      <c r="B28" s="12">
        <f>B17</f>
        <v/>
      </c>
      <c r="C28" s="13">
        <f>C17</f>
        <v/>
      </c>
      <c r="D28" s="14">
        <f>D17</f>
        <v/>
      </c>
      <c r="E28" s="14">
        <f>E17</f>
        <v/>
      </c>
      <c r="F28" s="15">
        <f>IF(F17="Strong OW",2,IF(F17="Overweight",1,IF(F17="Neutral",0,IF(F17="Underweight",-1,IF(F17="Strong UW",-2,0)))))</f>
        <v/>
      </c>
      <c r="G28" s="16">
        <f>D28-E28</f>
        <v/>
      </c>
      <c r="H28" s="15">
        <f>IF(F28*G28&gt;=0,1,0)</f>
        <v/>
      </c>
      <c r="I28" s="16">
        <f>H28*(1-$C$5)+$C$5</f>
        <v/>
      </c>
      <c r="J28" s="16">
        <f>E28*$C$6</f>
        <v/>
      </c>
      <c r="K28" s="16">
        <f>IF(G28=0, J28, ABS(G28)*I28)</f>
        <v/>
      </c>
      <c r="L28" s="17">
        <f>$C$4*F28*K28</f>
        <v/>
      </c>
      <c r="M28" s="16">
        <f>MAX(E28+L28, 1.0)</f>
        <v/>
      </c>
      <c r="N28" s="18">
        <f>ROUND(M28/SUM(M22:M29)*100, 2)</f>
        <v/>
      </c>
      <c r="O28" s="17">
        <f>ROUND(N28-E28, 2)</f>
        <v/>
      </c>
    </row>
    <row r="29">
      <c r="B29" s="12">
        <f>B18</f>
        <v/>
      </c>
      <c r="C29" s="13">
        <f>C18</f>
        <v/>
      </c>
      <c r="D29" s="14">
        <f>D18</f>
        <v/>
      </c>
      <c r="E29" s="14">
        <f>E18</f>
        <v/>
      </c>
      <c r="F29" s="15">
        <f>IF(F18="Strong OW",2,IF(F18="Overweight",1,IF(F18="Neutral",0,IF(F18="Underweight",-1,IF(F18="Strong UW",-2,0)))))</f>
        <v/>
      </c>
      <c r="G29" s="16">
        <f>D29-E29</f>
        <v/>
      </c>
      <c r="H29" s="15">
        <f>IF(F29*G29&gt;=0,1,0)</f>
        <v/>
      </c>
      <c r="I29" s="16">
        <f>H29*(1-$C$5)+$C$5</f>
        <v/>
      </c>
      <c r="J29" s="16">
        <f>E29*$C$6</f>
        <v/>
      </c>
      <c r="K29" s="16">
        <f>IF(G29=0, J29, ABS(G29)*I29)</f>
        <v/>
      </c>
      <c r="L29" s="17">
        <f>$C$4*F29*K29</f>
        <v/>
      </c>
      <c r="M29" s="16">
        <f>MAX(E29+L29, 1.0)</f>
        <v/>
      </c>
      <c r="N29" s="18">
        <f>ROUND(M29/SUM(M22:M29)*100, 2)</f>
        <v/>
      </c>
      <c r="O29" s="17">
        <f>ROUND(N29-E29, 2)</f>
        <v/>
      </c>
    </row>
    <row r="30">
      <c r="B30" s="19" t="inlineStr">
        <is>
          <t>합계</t>
        </is>
      </c>
      <c r="D30" s="20">
        <f>SUM(D22:D29)</f>
        <v/>
      </c>
      <c r="E30" s="20">
        <f>SUM(E22:E29)</f>
        <v/>
      </c>
      <c r="M30" s="20">
        <f>SUM(M22:M29)</f>
        <v/>
      </c>
      <c r="N30" s="20">
        <f>SUM(N22:N29)</f>
        <v/>
      </c>
    </row>
    <row r="32">
      <c r="B32" s="2" t="inlineStr">
        <is>
          <t>Range (허용 범위)</t>
        </is>
      </c>
    </row>
    <row r="33">
      <c r="B33" s="7" t="inlineStr">
        <is>
          <t>자산</t>
        </is>
      </c>
      <c r="C33" s="7" t="inlineStr">
        <is>
          <t>지역</t>
        </is>
      </c>
      <c r="D33" s="7" t="inlineStr">
        <is>
          <t>Final(%)</t>
        </is>
      </c>
      <c r="E33" s="7" t="inlineStr">
        <is>
          <t>Half Width</t>
        </is>
      </c>
      <c r="F33" s="7" t="inlineStr">
        <is>
          <t>Low(%)</t>
        </is>
      </c>
      <c r="G33" s="7" t="inlineStr">
        <is>
          <t>High(%)</t>
        </is>
      </c>
    </row>
    <row r="34">
      <c r="B34" s="12">
        <f>B22</f>
        <v/>
      </c>
      <c r="C34" s="13">
        <f>C22</f>
        <v/>
      </c>
      <c r="D34" s="21">
        <f>N22</f>
        <v/>
      </c>
      <c r="E34" s="14">
        <f>IF(D34&gt;=20, 7.5, IF(D34&gt;=10, 5.0, 2.5))</f>
        <v/>
      </c>
      <c r="F34" s="22">
        <f>ROUND(MAX(D34-E34, 0), 2)</f>
        <v/>
      </c>
      <c r="G34" s="22">
        <f>ROUND(D34+E34, 2)</f>
        <v/>
      </c>
    </row>
    <row r="35">
      <c r="B35" s="12">
        <f>B23</f>
        <v/>
      </c>
      <c r="C35" s="13">
        <f>C23</f>
        <v/>
      </c>
      <c r="D35" s="21">
        <f>N23</f>
        <v/>
      </c>
      <c r="E35" s="14">
        <f>IF(D35&gt;=20, 7.5, IF(D35&gt;=10, 5.0, 2.5))</f>
        <v/>
      </c>
      <c r="F35" s="22">
        <f>ROUND(MAX(D35-E35, 0), 2)</f>
        <v/>
      </c>
      <c r="G35" s="22">
        <f>ROUND(D35+E35, 2)</f>
        <v/>
      </c>
    </row>
    <row r="36">
      <c r="B36" s="12">
        <f>B24</f>
        <v/>
      </c>
      <c r="C36" s="13">
        <f>C24</f>
        <v/>
      </c>
      <c r="D36" s="21">
        <f>N24</f>
        <v/>
      </c>
      <c r="E36" s="14">
        <f>IF(D36&gt;=20, 7.5, IF(D36&gt;=10, 5.0, 2.5))</f>
        <v/>
      </c>
      <c r="F36" s="22">
        <f>ROUND(MAX(D36-E36, 0), 2)</f>
        <v/>
      </c>
      <c r="G36" s="22">
        <f>ROUND(D36+E36, 2)</f>
        <v/>
      </c>
    </row>
    <row r="37">
      <c r="B37" s="12">
        <f>B25</f>
        <v/>
      </c>
      <c r="C37" s="13">
        <f>C25</f>
        <v/>
      </c>
      <c r="D37" s="21">
        <f>N25</f>
        <v/>
      </c>
      <c r="E37" s="14">
        <f>IF(D37&gt;=20, 7.5, IF(D37&gt;=10, 5.0, 2.5))</f>
        <v/>
      </c>
      <c r="F37" s="22">
        <f>ROUND(MAX(D37-E37, 0), 2)</f>
        <v/>
      </c>
      <c r="G37" s="22">
        <f>ROUND(D37+E37, 2)</f>
        <v/>
      </c>
    </row>
    <row r="38">
      <c r="B38" s="12">
        <f>B26</f>
        <v/>
      </c>
      <c r="C38" s="13">
        <f>C26</f>
        <v/>
      </c>
      <c r="D38" s="21">
        <f>N26</f>
        <v/>
      </c>
      <c r="E38" s="14">
        <f>IF(D38&gt;=20, 7.5, IF(D38&gt;=10, 5.0, 2.5))</f>
        <v/>
      </c>
      <c r="F38" s="22">
        <f>ROUND(MAX(D38-E38, 0), 2)</f>
        <v/>
      </c>
      <c r="G38" s="22">
        <f>ROUND(D38+E38, 2)</f>
        <v/>
      </c>
    </row>
    <row r="39">
      <c r="B39" s="12">
        <f>B27</f>
        <v/>
      </c>
      <c r="C39" s="13">
        <f>C27</f>
        <v/>
      </c>
      <c r="D39" s="21">
        <f>N27</f>
        <v/>
      </c>
      <c r="E39" s="14">
        <f>IF(D39&gt;=20, 7.5, IF(D39&gt;=10, 5.0, 2.5))</f>
        <v/>
      </c>
      <c r="F39" s="22">
        <f>ROUND(MAX(D39-E39, 0), 2)</f>
        <v/>
      </c>
      <c r="G39" s="22">
        <f>ROUND(D39+E39, 2)</f>
        <v/>
      </c>
    </row>
    <row r="40">
      <c r="B40" s="12">
        <f>B28</f>
        <v/>
      </c>
      <c r="C40" s="13">
        <f>C28</f>
        <v/>
      </c>
      <c r="D40" s="21">
        <f>N28</f>
        <v/>
      </c>
      <c r="E40" s="14">
        <f>IF(D40&gt;=20, 7.5, IF(D40&gt;=10, 5.0, 2.5))</f>
        <v/>
      </c>
      <c r="F40" s="22">
        <f>ROUND(MAX(D40-E40, 0), 2)</f>
        <v/>
      </c>
      <c r="G40" s="22">
        <f>ROUND(D40+E40, 2)</f>
        <v/>
      </c>
    </row>
    <row r="41">
      <c r="B41" s="12">
        <f>B29</f>
        <v/>
      </c>
      <c r="C41" s="13">
        <f>C29</f>
        <v/>
      </c>
      <c r="D41" s="21">
        <f>N29</f>
        <v/>
      </c>
      <c r="E41" s="14">
        <f>IF(D41&gt;=20, 7.5, IF(D41&gt;=10, 5.0, 2.5))</f>
        <v/>
      </c>
      <c r="F41" s="22">
        <f>ROUND(MAX(D41-E41, 0), 2)</f>
        <v/>
      </c>
      <c r="G41" s="22">
        <f>ROUND(D41+E41, 2)</f>
        <v/>
      </c>
    </row>
    <row r="44">
      <c r="B44" s="2" t="inlineStr">
        <is>
          <t>Formula Reference</t>
        </is>
      </c>
    </row>
    <row r="45">
      <c r="B45" s="23" t="inlineStr">
        <is>
          <t>1. Signal_i = TAA 의견 → 수치 (SOW=+2, OW=+1, N=0, UW=-1, SUW=-2)</t>
        </is>
      </c>
    </row>
    <row r="46">
      <c r="B46" s="23" t="inlineStr">
        <is>
          <t>2. Gap_i = SAA_i - Peer_i</t>
        </is>
      </c>
    </row>
    <row r="47">
      <c r="B47" s="23" t="inlineStr">
        <is>
          <t>3. Aligned = 1 if Signal×Gap ≥ 0, else 0</t>
        </is>
      </c>
    </row>
    <row r="48">
      <c r="B48" s="23" t="inlineStr">
        <is>
          <t>4. Damping_i = Aligned × (1 - d) + d    (d = Damping 파라미터)</t>
        </is>
      </c>
    </row>
    <row r="49">
      <c r="B49" s="23" t="inlineStr">
        <is>
          <t>5. Tilt_i = |Gap_i| × Damping_i  (gap=0이면 Peer_i × Min Tilt Rate)</t>
        </is>
      </c>
    </row>
    <row r="50">
      <c r="B50" s="23" t="inlineStr">
        <is>
          <t>6. Adj_i = α × Signal_i × Tilt_i</t>
        </is>
      </c>
    </row>
    <row r="51">
      <c r="B51" s="23" t="inlineStr">
        <is>
          <t>7. Raw_i = MAX( Peer_i + Adj_i,  1.0 )</t>
        </is>
      </c>
    </row>
    <row r="52">
      <c r="B52" s="23" t="inlineStr">
        <is>
          <t>8. Final_i = Raw_i / Σ Raw_j × 100</t>
        </is>
      </c>
    </row>
    <row r="53">
      <c r="B53" s="23" t="inlineStr">
        <is>
          <t>9. Range: Final ≥ 20% → ±7.5%p, ≥ 10% → ±5%p, &lt; 10% → ±2.5%p</t>
        </is>
      </c>
    </row>
  </sheetData>
  <mergeCells count="1">
    <mergeCell ref="B1:H1"/>
  </mergeCells>
  <dataValidations count="1">
    <dataValidation sqref="F11 F12 F13 F14 F15 F16 F17 F18" showDropDown="0" showInputMessage="0" showErrorMessage="0" allowBlank="1" errorTitle="잘못된 입력" error="TAA 옵션에서 선택하세요" type="list">
      <formula1>"Strong OW,Overweight,Neutral,Underweight,Strong UW"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5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B1" s="1" t="inlineStr">
        <is>
          <t>TAA Dashboard — 가중 평균 기준 (Base 비례 Tilt)</t>
        </is>
      </c>
    </row>
    <row r="3">
      <c r="B3" s="2" t="inlineStr">
        <is>
          <t>Parameters</t>
        </is>
      </c>
      <c r="H3" s="2" t="inlineStr">
        <is>
          <t>TAA Signal 매핑</t>
        </is>
      </c>
    </row>
    <row r="4">
      <c r="B4" s="3" t="inlineStr">
        <is>
          <t>α (확신도)</t>
        </is>
      </c>
      <c r="C4" s="4" t="n">
        <v>0.5</v>
      </c>
      <c r="E4" s="5" t="inlineStr">
        <is>
          <t>← 0~1 (보수적 → 적극적)</t>
        </is>
      </c>
      <c r="H4" s="3" t="inlineStr">
        <is>
          <t>Strong OW</t>
        </is>
      </c>
      <c r="I4" s="6" t="n">
        <v>2</v>
      </c>
    </row>
    <row r="5">
      <c r="B5" s="3" t="inlineStr">
        <is>
          <t>SAA 가중치 (w)</t>
        </is>
      </c>
      <c r="C5" s="4" t="n">
        <v>0.5</v>
      </c>
      <c r="E5" s="5" t="inlineStr">
        <is>
          <t>← 0=Peer중심, 1=SAA중심</t>
        </is>
      </c>
      <c r="H5" s="3" t="inlineStr">
        <is>
          <t>Overweight</t>
        </is>
      </c>
      <c r="I5" s="6" t="n">
        <v>1</v>
      </c>
    </row>
    <row r="6">
      <c r="B6" s="3" t="inlineStr">
        <is>
          <t>Tilt Rate</t>
        </is>
      </c>
      <c r="C6" s="4" t="n">
        <v>0.2</v>
      </c>
      <c r="E6" s="5" t="inlineStr">
        <is>
          <t>← Base 대비 Tilt 비율</t>
        </is>
      </c>
      <c r="H6" s="3" t="inlineStr">
        <is>
          <t>Neutral</t>
        </is>
      </c>
      <c r="I6" s="6" t="n">
        <v>0</v>
      </c>
    </row>
    <row r="7">
      <c r="H7" s="3" t="inlineStr">
        <is>
          <t>Underweight</t>
        </is>
      </c>
      <c r="I7" s="6" t="n">
        <v>-1</v>
      </c>
    </row>
    <row r="8">
      <c r="H8" s="3" t="inlineStr">
        <is>
          <t>Strong UW</t>
        </is>
      </c>
      <c r="I8" s="6" t="n">
        <v>-2</v>
      </c>
    </row>
    <row r="9">
      <c r="B9" s="2" t="inlineStr">
        <is>
          <t>Region Inputs</t>
        </is>
      </c>
    </row>
    <row r="10">
      <c r="B10" s="7" t="inlineStr">
        <is>
          <t>자산</t>
        </is>
      </c>
      <c r="C10" s="7" t="inlineStr">
        <is>
          <t>지역</t>
        </is>
      </c>
      <c r="D10" s="7" t="inlineStr">
        <is>
          <t>SAA(%)</t>
        </is>
      </c>
      <c r="E10" s="7" t="inlineStr">
        <is>
          <t>Peer(%)</t>
        </is>
      </c>
      <c r="F10" s="7" t="inlineStr">
        <is>
          <t>TAA</t>
        </is>
      </c>
    </row>
    <row r="11">
      <c r="B11" s="8" t="inlineStr">
        <is>
          <t>주식</t>
        </is>
      </c>
      <c r="C11" s="9" t="inlineStr">
        <is>
          <t>미국</t>
        </is>
      </c>
      <c r="D11" s="10" t="n">
        <v>49</v>
      </c>
      <c r="E11" s="10" t="n">
        <v>45.5</v>
      </c>
      <c r="F11" s="11" t="inlineStr">
        <is>
          <t>Neutral</t>
        </is>
      </c>
    </row>
    <row r="12">
      <c r="B12" s="8" t="inlineStr">
        <is>
          <t>주식</t>
        </is>
      </c>
      <c r="C12" s="9" t="inlineStr">
        <is>
          <t>유럽</t>
        </is>
      </c>
      <c r="D12" s="10" t="n">
        <v>10.5</v>
      </c>
      <c r="E12" s="10" t="n">
        <v>12.6</v>
      </c>
      <c r="F12" s="11" t="inlineStr">
        <is>
          <t>Neutral</t>
        </is>
      </c>
    </row>
    <row r="13">
      <c r="B13" s="8" t="inlineStr">
        <is>
          <t>주식</t>
        </is>
      </c>
      <c r="C13" s="9" t="inlineStr">
        <is>
          <t>일본</t>
        </is>
      </c>
      <c r="D13" s="10" t="n">
        <v>3.5</v>
      </c>
      <c r="E13" s="10" t="n">
        <v>3.5</v>
      </c>
      <c r="F13" s="11" t="inlineStr">
        <is>
          <t>Neutral</t>
        </is>
      </c>
    </row>
    <row r="14">
      <c r="B14" s="8" t="inlineStr">
        <is>
          <t>주식</t>
        </is>
      </c>
      <c r="C14" s="9" t="inlineStr">
        <is>
          <t>중국</t>
        </is>
      </c>
      <c r="D14" s="10" t="n">
        <v>2.1</v>
      </c>
      <c r="E14" s="10" t="n">
        <v>3.5</v>
      </c>
      <c r="F14" s="11" t="inlineStr">
        <is>
          <t>Neutral</t>
        </is>
      </c>
    </row>
    <row r="15">
      <c r="B15" s="8" t="inlineStr">
        <is>
          <t>주식</t>
        </is>
      </c>
      <c r="C15" s="9" t="inlineStr">
        <is>
          <t>한국</t>
        </is>
      </c>
      <c r="D15" s="10" t="n">
        <v>3.5</v>
      </c>
      <c r="E15" s="10" t="n">
        <v>2.1</v>
      </c>
      <c r="F15" s="11" t="inlineStr">
        <is>
          <t>Neutral</t>
        </is>
      </c>
    </row>
    <row r="16">
      <c r="B16" s="8" t="inlineStr">
        <is>
          <t>주식</t>
        </is>
      </c>
      <c r="C16" s="9" t="inlineStr">
        <is>
          <t>기타</t>
        </is>
      </c>
      <c r="D16" s="10" t="n">
        <v>1.4</v>
      </c>
      <c r="E16" s="10" t="n">
        <v>2.8</v>
      </c>
      <c r="F16" s="11" t="inlineStr">
        <is>
          <t>Neutral</t>
        </is>
      </c>
    </row>
    <row r="17">
      <c r="B17" s="8" t="inlineStr">
        <is>
          <t>채권</t>
        </is>
      </c>
      <c r="C17" s="9" t="inlineStr">
        <is>
          <t>미국</t>
        </is>
      </c>
      <c r="D17" s="10" t="n">
        <v>21</v>
      </c>
      <c r="E17" s="10" t="n">
        <v>18</v>
      </c>
      <c r="F17" s="11" t="inlineStr">
        <is>
          <t>Neutral</t>
        </is>
      </c>
    </row>
    <row r="18">
      <c r="B18" s="8" t="inlineStr">
        <is>
          <t>채권</t>
        </is>
      </c>
      <c r="C18" s="9" t="inlineStr">
        <is>
          <t>한국</t>
        </is>
      </c>
      <c r="D18" s="10" t="n">
        <v>9</v>
      </c>
      <c r="E18" s="10" t="n">
        <v>12</v>
      </c>
      <c r="F18" s="11" t="inlineStr">
        <is>
          <t>Neutral</t>
        </is>
      </c>
    </row>
    <row r="20">
      <c r="B20" s="2" t="inlineStr">
        <is>
          <t>Calculation</t>
        </is>
      </c>
    </row>
    <row r="21">
      <c r="B21" s="7" t="inlineStr">
        <is>
          <t>자산</t>
        </is>
      </c>
      <c r="C21" s="7" t="inlineStr">
        <is>
          <t>지역</t>
        </is>
      </c>
      <c r="D21" s="7" t="inlineStr">
        <is>
          <t>SAA</t>
        </is>
      </c>
      <c r="E21" s="7" t="inlineStr">
        <is>
          <t>Peer</t>
        </is>
      </c>
      <c r="F21" s="7" t="inlineStr">
        <is>
          <t>Signal</t>
        </is>
      </c>
      <c r="G21" s="7" t="inlineStr">
        <is>
          <t>Base</t>
        </is>
      </c>
      <c r="H21" s="7" t="inlineStr">
        <is>
          <t>Tilt</t>
        </is>
      </c>
      <c r="I21" s="7" t="inlineStr">
        <is>
          <t>Adj</t>
        </is>
      </c>
      <c r="J21" s="7" t="inlineStr">
        <is>
          <t>Raw</t>
        </is>
      </c>
      <c r="K21" s="7" t="inlineStr">
        <is>
          <t>Final(%)</t>
        </is>
      </c>
      <c r="L21" s="7" t="inlineStr">
        <is>
          <t>vs Peer</t>
        </is>
      </c>
    </row>
    <row r="22">
      <c r="B22" s="12">
        <f>B11</f>
        <v/>
      </c>
      <c r="C22" s="13">
        <f>C11</f>
        <v/>
      </c>
      <c r="D22" s="14">
        <f>D11</f>
        <v/>
      </c>
      <c r="E22" s="14">
        <f>E11</f>
        <v/>
      </c>
      <c r="F22" s="15">
        <f>IF(F11="Strong OW",2,IF(F11="Overweight",1,IF(F11="Neutral",0,IF(F11="Underweight",-1,IF(F11="Strong UW",-2,0)))))</f>
        <v/>
      </c>
      <c r="G22" s="16">
        <f>$C$5*D22+(1-$C$5)*E22</f>
        <v/>
      </c>
      <c r="H22" s="16">
        <f>G22*$C$6</f>
        <v/>
      </c>
      <c r="I22" s="17">
        <f>$C$4*F22*H22</f>
        <v/>
      </c>
      <c r="J22" s="16">
        <f>MAX(G22+I22, 1.0)</f>
        <v/>
      </c>
      <c r="K22" s="18">
        <f>ROUND(J22/SUM(J22:J29)*100, 2)</f>
        <v/>
      </c>
      <c r="L22" s="17">
        <f>ROUND(K22-E22, 2)</f>
        <v/>
      </c>
    </row>
    <row r="23">
      <c r="B23" s="12">
        <f>B12</f>
        <v/>
      </c>
      <c r="C23" s="13">
        <f>C12</f>
        <v/>
      </c>
      <c r="D23" s="14">
        <f>D12</f>
        <v/>
      </c>
      <c r="E23" s="14">
        <f>E12</f>
        <v/>
      </c>
      <c r="F23" s="15">
        <f>IF(F12="Strong OW",2,IF(F12="Overweight",1,IF(F12="Neutral",0,IF(F12="Underweight",-1,IF(F12="Strong UW",-2,0)))))</f>
        <v/>
      </c>
      <c r="G23" s="16">
        <f>$C$5*D23+(1-$C$5)*E23</f>
        <v/>
      </c>
      <c r="H23" s="16">
        <f>G23*$C$6</f>
        <v/>
      </c>
      <c r="I23" s="17">
        <f>$C$4*F23*H23</f>
        <v/>
      </c>
      <c r="J23" s="16">
        <f>MAX(G23+I23, 1.0)</f>
        <v/>
      </c>
      <c r="K23" s="18">
        <f>ROUND(J23/SUM(J22:J29)*100, 2)</f>
        <v/>
      </c>
      <c r="L23" s="17">
        <f>ROUND(K23-E23, 2)</f>
        <v/>
      </c>
    </row>
    <row r="24">
      <c r="B24" s="12">
        <f>B13</f>
        <v/>
      </c>
      <c r="C24" s="13">
        <f>C13</f>
        <v/>
      </c>
      <c r="D24" s="14">
        <f>D13</f>
        <v/>
      </c>
      <c r="E24" s="14">
        <f>E13</f>
        <v/>
      </c>
      <c r="F24" s="15">
        <f>IF(F13="Strong OW",2,IF(F13="Overweight",1,IF(F13="Neutral",0,IF(F13="Underweight",-1,IF(F13="Strong UW",-2,0)))))</f>
        <v/>
      </c>
      <c r="G24" s="16">
        <f>$C$5*D24+(1-$C$5)*E24</f>
        <v/>
      </c>
      <c r="H24" s="16">
        <f>G24*$C$6</f>
        <v/>
      </c>
      <c r="I24" s="17">
        <f>$C$4*F24*H24</f>
        <v/>
      </c>
      <c r="J24" s="16">
        <f>MAX(G24+I24, 1.0)</f>
        <v/>
      </c>
      <c r="K24" s="18">
        <f>ROUND(J24/SUM(J22:J29)*100, 2)</f>
        <v/>
      </c>
      <c r="L24" s="17">
        <f>ROUND(K24-E24, 2)</f>
        <v/>
      </c>
    </row>
    <row r="25">
      <c r="B25" s="12">
        <f>B14</f>
        <v/>
      </c>
      <c r="C25" s="13">
        <f>C14</f>
        <v/>
      </c>
      <c r="D25" s="14">
        <f>D14</f>
        <v/>
      </c>
      <c r="E25" s="14">
        <f>E14</f>
        <v/>
      </c>
      <c r="F25" s="15">
        <f>IF(F14="Strong OW",2,IF(F14="Overweight",1,IF(F14="Neutral",0,IF(F14="Underweight",-1,IF(F14="Strong UW",-2,0)))))</f>
        <v/>
      </c>
      <c r="G25" s="16">
        <f>$C$5*D25+(1-$C$5)*E25</f>
        <v/>
      </c>
      <c r="H25" s="16">
        <f>G25*$C$6</f>
        <v/>
      </c>
      <c r="I25" s="17">
        <f>$C$4*F25*H25</f>
        <v/>
      </c>
      <c r="J25" s="16">
        <f>MAX(G25+I25, 1.0)</f>
        <v/>
      </c>
      <c r="K25" s="18">
        <f>ROUND(J25/SUM(J22:J29)*100, 2)</f>
        <v/>
      </c>
      <c r="L25" s="17">
        <f>ROUND(K25-E25, 2)</f>
        <v/>
      </c>
    </row>
    <row r="26">
      <c r="B26" s="12">
        <f>B15</f>
        <v/>
      </c>
      <c r="C26" s="13">
        <f>C15</f>
        <v/>
      </c>
      <c r="D26" s="14">
        <f>D15</f>
        <v/>
      </c>
      <c r="E26" s="14">
        <f>E15</f>
        <v/>
      </c>
      <c r="F26" s="15">
        <f>IF(F15="Strong OW",2,IF(F15="Overweight",1,IF(F15="Neutral",0,IF(F15="Underweight",-1,IF(F15="Strong UW",-2,0)))))</f>
        <v/>
      </c>
      <c r="G26" s="16">
        <f>$C$5*D26+(1-$C$5)*E26</f>
        <v/>
      </c>
      <c r="H26" s="16">
        <f>G26*$C$6</f>
        <v/>
      </c>
      <c r="I26" s="17">
        <f>$C$4*F26*H26</f>
        <v/>
      </c>
      <c r="J26" s="16">
        <f>MAX(G26+I26, 1.0)</f>
        <v/>
      </c>
      <c r="K26" s="18">
        <f>ROUND(J26/SUM(J22:J29)*100, 2)</f>
        <v/>
      </c>
      <c r="L26" s="17">
        <f>ROUND(K26-E26, 2)</f>
        <v/>
      </c>
    </row>
    <row r="27">
      <c r="B27" s="12">
        <f>B16</f>
        <v/>
      </c>
      <c r="C27" s="13">
        <f>C16</f>
        <v/>
      </c>
      <c r="D27" s="14">
        <f>D16</f>
        <v/>
      </c>
      <c r="E27" s="14">
        <f>E16</f>
        <v/>
      </c>
      <c r="F27" s="15">
        <f>IF(F16="Strong OW",2,IF(F16="Overweight",1,IF(F16="Neutral",0,IF(F16="Underweight",-1,IF(F16="Strong UW",-2,0)))))</f>
        <v/>
      </c>
      <c r="G27" s="16">
        <f>$C$5*D27+(1-$C$5)*E27</f>
        <v/>
      </c>
      <c r="H27" s="16">
        <f>G27*$C$6</f>
        <v/>
      </c>
      <c r="I27" s="17">
        <f>$C$4*F27*H27</f>
        <v/>
      </c>
      <c r="J27" s="16">
        <f>MAX(G27+I27, 1.0)</f>
        <v/>
      </c>
      <c r="K27" s="18">
        <f>ROUND(J27/SUM(J22:J29)*100, 2)</f>
        <v/>
      </c>
      <c r="L27" s="17">
        <f>ROUND(K27-E27, 2)</f>
        <v/>
      </c>
    </row>
    <row r="28">
      <c r="B28" s="12">
        <f>B17</f>
        <v/>
      </c>
      <c r="C28" s="13">
        <f>C17</f>
        <v/>
      </c>
      <c r="D28" s="14">
        <f>D17</f>
        <v/>
      </c>
      <c r="E28" s="14">
        <f>E17</f>
        <v/>
      </c>
      <c r="F28" s="15">
        <f>IF(F17="Strong OW",2,IF(F17="Overweight",1,IF(F17="Neutral",0,IF(F17="Underweight",-1,IF(F17="Strong UW",-2,0)))))</f>
        <v/>
      </c>
      <c r="G28" s="16">
        <f>$C$5*D28+(1-$C$5)*E28</f>
        <v/>
      </c>
      <c r="H28" s="16">
        <f>G28*$C$6</f>
        <v/>
      </c>
      <c r="I28" s="17">
        <f>$C$4*F28*H28</f>
        <v/>
      </c>
      <c r="J28" s="16">
        <f>MAX(G28+I28, 1.0)</f>
        <v/>
      </c>
      <c r="K28" s="18">
        <f>ROUND(J28/SUM(J22:J29)*100, 2)</f>
        <v/>
      </c>
      <c r="L28" s="17">
        <f>ROUND(K28-E28, 2)</f>
        <v/>
      </c>
    </row>
    <row r="29">
      <c r="B29" s="12">
        <f>B18</f>
        <v/>
      </c>
      <c r="C29" s="13">
        <f>C18</f>
        <v/>
      </c>
      <c r="D29" s="14">
        <f>D18</f>
        <v/>
      </c>
      <c r="E29" s="14">
        <f>E18</f>
        <v/>
      </c>
      <c r="F29" s="15">
        <f>IF(F18="Strong OW",2,IF(F18="Overweight",1,IF(F18="Neutral",0,IF(F18="Underweight",-1,IF(F18="Strong UW",-2,0)))))</f>
        <v/>
      </c>
      <c r="G29" s="16">
        <f>$C$5*D29+(1-$C$5)*E29</f>
        <v/>
      </c>
      <c r="H29" s="16">
        <f>G29*$C$6</f>
        <v/>
      </c>
      <c r="I29" s="17">
        <f>$C$4*F29*H29</f>
        <v/>
      </c>
      <c r="J29" s="16">
        <f>MAX(G29+I29, 1.0)</f>
        <v/>
      </c>
      <c r="K29" s="18">
        <f>ROUND(J29/SUM(J22:J29)*100, 2)</f>
        <v/>
      </c>
      <c r="L29" s="17">
        <f>ROUND(K29-E29, 2)</f>
        <v/>
      </c>
    </row>
    <row r="30">
      <c r="B30" s="19" t="inlineStr">
        <is>
          <t>합계</t>
        </is>
      </c>
      <c r="D30" s="20">
        <f>SUM(D22:D29)</f>
        <v/>
      </c>
      <c r="E30" s="20">
        <f>SUM(E22:E29)</f>
        <v/>
      </c>
      <c r="G30" s="20">
        <f>SUM(G22:G29)</f>
        <v/>
      </c>
      <c r="J30" s="20">
        <f>SUM(J22:J29)</f>
        <v/>
      </c>
      <c r="K30" s="20">
        <f>SUM(K22:K29)</f>
        <v/>
      </c>
    </row>
    <row r="32">
      <c r="B32" s="2" t="inlineStr">
        <is>
          <t>Range (허용 범위)</t>
        </is>
      </c>
    </row>
    <row r="33">
      <c r="B33" s="7" t="inlineStr">
        <is>
          <t>자산</t>
        </is>
      </c>
      <c r="C33" s="7" t="inlineStr">
        <is>
          <t>지역</t>
        </is>
      </c>
      <c r="D33" s="7" t="inlineStr">
        <is>
          <t>Final(%)</t>
        </is>
      </c>
      <c r="E33" s="7" t="inlineStr">
        <is>
          <t>Half Width</t>
        </is>
      </c>
      <c r="F33" s="7" t="inlineStr">
        <is>
          <t>Low(%)</t>
        </is>
      </c>
      <c r="G33" s="7" t="inlineStr">
        <is>
          <t>High(%)</t>
        </is>
      </c>
    </row>
    <row r="34">
      <c r="B34" s="12">
        <f>B22</f>
        <v/>
      </c>
      <c r="C34" s="13">
        <f>C22</f>
        <v/>
      </c>
      <c r="D34" s="21">
        <f>K22</f>
        <v/>
      </c>
      <c r="E34" s="14">
        <f>IF(D34&gt;=20, 7.5, IF(D34&gt;=10, 5.0, 2.5))</f>
        <v/>
      </c>
      <c r="F34" s="22">
        <f>ROUND(MAX(D34-E34, 0), 2)</f>
        <v/>
      </c>
      <c r="G34" s="22">
        <f>ROUND(D34+E34, 2)</f>
        <v/>
      </c>
    </row>
    <row r="35">
      <c r="B35" s="12">
        <f>B23</f>
        <v/>
      </c>
      <c r="C35" s="13">
        <f>C23</f>
        <v/>
      </c>
      <c r="D35" s="21">
        <f>K23</f>
        <v/>
      </c>
      <c r="E35" s="14">
        <f>IF(D35&gt;=20, 7.5, IF(D35&gt;=10, 5.0, 2.5))</f>
        <v/>
      </c>
      <c r="F35" s="22">
        <f>ROUND(MAX(D35-E35, 0), 2)</f>
        <v/>
      </c>
      <c r="G35" s="22">
        <f>ROUND(D35+E35, 2)</f>
        <v/>
      </c>
    </row>
    <row r="36">
      <c r="B36" s="12">
        <f>B24</f>
        <v/>
      </c>
      <c r="C36" s="13">
        <f>C24</f>
        <v/>
      </c>
      <c r="D36" s="21">
        <f>K24</f>
        <v/>
      </c>
      <c r="E36" s="14">
        <f>IF(D36&gt;=20, 7.5, IF(D36&gt;=10, 5.0, 2.5))</f>
        <v/>
      </c>
      <c r="F36" s="22">
        <f>ROUND(MAX(D36-E36, 0), 2)</f>
        <v/>
      </c>
      <c r="G36" s="22">
        <f>ROUND(D36+E36, 2)</f>
        <v/>
      </c>
    </row>
    <row r="37">
      <c r="B37" s="12">
        <f>B25</f>
        <v/>
      </c>
      <c r="C37" s="13">
        <f>C25</f>
        <v/>
      </c>
      <c r="D37" s="21">
        <f>K25</f>
        <v/>
      </c>
      <c r="E37" s="14">
        <f>IF(D37&gt;=20, 7.5, IF(D37&gt;=10, 5.0, 2.5))</f>
        <v/>
      </c>
      <c r="F37" s="22">
        <f>ROUND(MAX(D37-E37, 0), 2)</f>
        <v/>
      </c>
      <c r="G37" s="22">
        <f>ROUND(D37+E37, 2)</f>
        <v/>
      </c>
    </row>
    <row r="38">
      <c r="B38" s="12">
        <f>B26</f>
        <v/>
      </c>
      <c r="C38" s="13">
        <f>C26</f>
        <v/>
      </c>
      <c r="D38" s="21">
        <f>K26</f>
        <v/>
      </c>
      <c r="E38" s="14">
        <f>IF(D38&gt;=20, 7.5, IF(D38&gt;=10, 5.0, 2.5))</f>
        <v/>
      </c>
      <c r="F38" s="22">
        <f>ROUND(MAX(D38-E38, 0), 2)</f>
        <v/>
      </c>
      <c r="G38" s="22">
        <f>ROUND(D38+E38, 2)</f>
        <v/>
      </c>
    </row>
    <row r="39">
      <c r="B39" s="12">
        <f>B27</f>
        <v/>
      </c>
      <c r="C39" s="13">
        <f>C27</f>
        <v/>
      </c>
      <c r="D39" s="21">
        <f>K27</f>
        <v/>
      </c>
      <c r="E39" s="14">
        <f>IF(D39&gt;=20, 7.5, IF(D39&gt;=10, 5.0, 2.5))</f>
        <v/>
      </c>
      <c r="F39" s="22">
        <f>ROUND(MAX(D39-E39, 0), 2)</f>
        <v/>
      </c>
      <c r="G39" s="22">
        <f>ROUND(D39+E39, 2)</f>
        <v/>
      </c>
    </row>
    <row r="40">
      <c r="B40" s="12">
        <f>B28</f>
        <v/>
      </c>
      <c r="C40" s="13">
        <f>C28</f>
        <v/>
      </c>
      <c r="D40" s="21">
        <f>K28</f>
        <v/>
      </c>
      <c r="E40" s="14">
        <f>IF(D40&gt;=20, 7.5, IF(D40&gt;=10, 5.0, 2.5))</f>
        <v/>
      </c>
      <c r="F40" s="22">
        <f>ROUND(MAX(D40-E40, 0), 2)</f>
        <v/>
      </c>
      <c r="G40" s="22">
        <f>ROUND(D40+E40, 2)</f>
        <v/>
      </c>
    </row>
    <row r="41">
      <c r="B41" s="12">
        <f>B29</f>
        <v/>
      </c>
      <c r="C41" s="13">
        <f>C29</f>
        <v/>
      </c>
      <c r="D41" s="21">
        <f>K29</f>
        <v/>
      </c>
      <c r="E41" s="14">
        <f>IF(D41&gt;=20, 7.5, IF(D41&gt;=10, 5.0, 2.5))</f>
        <v/>
      </c>
      <c r="F41" s="22">
        <f>ROUND(MAX(D41-E41, 0), 2)</f>
        <v/>
      </c>
      <c r="G41" s="22">
        <f>ROUND(D41+E41, 2)</f>
        <v/>
      </c>
    </row>
    <row r="44">
      <c r="B44" s="2" t="inlineStr">
        <is>
          <t>Formula Reference</t>
        </is>
      </c>
    </row>
    <row r="45">
      <c r="B45" s="23" t="inlineStr">
        <is>
          <t>1. Signal_i = TAA 의견 → 수치 (SOW=+2, OW=+1, N=0, UW=-1, SUW=-2)</t>
        </is>
      </c>
    </row>
    <row r="46">
      <c r="B46" s="23" t="inlineStr">
        <is>
          <t>2. Base_i = w × SAA_i + (1-w) × Peer_i</t>
        </is>
      </c>
    </row>
    <row r="47">
      <c r="B47" s="23" t="inlineStr">
        <is>
          <t>3. Tilt_i = Base_i × Tilt Rate</t>
        </is>
      </c>
    </row>
    <row r="48">
      <c r="B48" s="23" t="inlineStr">
        <is>
          <t>4. Adj_i = α × Signal_i × Tilt_i</t>
        </is>
      </c>
    </row>
    <row r="49">
      <c r="B49" s="23" t="inlineStr">
        <is>
          <t>5. Raw_i = MAX( Base_i + Adj_i,  1.0 )</t>
        </is>
      </c>
    </row>
    <row r="50">
      <c r="B50" s="23" t="inlineStr">
        <is>
          <t>6. Final_i = Raw_i / Σ Raw_j × 100</t>
        </is>
      </c>
    </row>
    <row r="51">
      <c r="B51" s="23" t="inlineStr">
        <is>
          <t>7. Range: Final ≥ 20% → ±7.5%p, ≥ 10% → ±5%p, &lt; 10% → ±2.5%p</t>
        </is>
      </c>
    </row>
  </sheetData>
  <mergeCells count="1">
    <mergeCell ref="B1:H1"/>
  </mergeCells>
  <dataValidations count="1">
    <dataValidation sqref="F11 F12 F13 F14 F15 F16 F17 F18" showDropDown="0" showInputMessage="0" showErrorMessage="0" allowBlank="1" type="list">
      <formula1>"Strong OW,Overweight,Neutral,Underweight,Strong UW"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2026-03-13T05:56:46Z</dcterms:created>
  <dcterms:modified xmlns:dcterms="http://purl.org/dc/terms/" xmlns:xsi="http://www.w3.org/2001/XMLSchema-instance" xsi:type="dcterms:W3CDTF">2026-03-13T05:56:46Z</dcterms:modified>
</cp:coreProperties>
</file>