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A Dashboa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0.0"/>
  </numFmts>
  <fonts count="9">
    <font>
      <name val="Calibri"/>
      <family val="2"/>
      <color theme="1"/>
      <sz val="11"/>
      <scheme val="minor"/>
    </font>
    <font>
      <name val="맑은 고딕"/>
      <b val="1"/>
      <color rgb="001E293B"/>
      <sz val="14"/>
    </font>
    <font>
      <name val="맑은 고딕"/>
      <b val="1"/>
      <color rgb="006366F1"/>
      <sz val="11"/>
    </font>
    <font>
      <name val="맑은 고딕"/>
      <color rgb="001E293B"/>
      <sz val="10"/>
    </font>
    <font>
      <name val="맑은 고딕"/>
      <b val="1"/>
      <color rgb="006366F1"/>
      <sz val="10"/>
    </font>
    <font>
      <name val="맑은 고딕"/>
      <color rgb="0094A3B8"/>
      <sz val="9"/>
    </font>
    <font>
      <name val="맑은 고딕"/>
      <b val="1"/>
      <color rgb="00475569"/>
      <sz val="10"/>
    </font>
    <font>
      <name val="맑은 고딕"/>
      <b val="1"/>
      <sz val="10"/>
    </font>
    <font>
      <name val="맑은 고딕"/>
      <color rgb="00475569"/>
      <sz val="9"/>
    </font>
  </fonts>
  <fills count="6">
    <fill>
      <patternFill/>
    </fill>
    <fill>
      <patternFill patternType="gray125"/>
    </fill>
    <fill>
      <patternFill patternType="solid">
        <fgColor rgb="00FFFBEB"/>
        <bgColor rgb="00FFFBEB"/>
      </patternFill>
    </fill>
    <fill>
      <patternFill patternType="solid">
        <fgColor rgb="00F8FAFC"/>
        <bgColor rgb="00F8FAFC"/>
      </patternFill>
    </fill>
    <fill>
      <patternFill patternType="solid">
        <fgColor rgb="00EEF2FF"/>
        <bgColor rgb="00EEF2FF"/>
      </patternFill>
    </fill>
    <fill>
      <patternFill patternType="solid">
        <fgColor rgb="00F0FDF4"/>
        <bgColor rgb="00F0FDF4"/>
      </patternFill>
    </fill>
  </fills>
  <borders count="4">
    <border>
      <left/>
      <right/>
      <top/>
      <bottom/>
      <diagonal/>
    </border>
    <border>
      <bottom style="medium">
        <color rgb="00CBD5E1"/>
      </bottom>
    </border>
    <border>
      <bottom style="thin">
        <color rgb="00E2E8F0"/>
      </bottom>
    </border>
    <border>
      <top style="medium">
        <color rgb="00CBD5E1"/>
      </top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2" fontId="4" fillId="2" borderId="0" applyAlignment="1" pivotButton="0" quotePrefix="0" xfId="0">
      <alignment horizontal="center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2" applyAlignment="1" pivotButton="0" quotePrefix="0" xfId="0">
      <alignment horizontal="center"/>
    </xf>
    <xf numFmtId="0" fontId="3" fillId="2" borderId="2" applyAlignment="1" pivotButton="0" quotePrefix="0" xfId="0">
      <alignment horizontal="center"/>
    </xf>
    <xf numFmtId="1" fontId="4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164" fontId="4" fillId="0" borderId="2" applyAlignment="1" pivotButton="0" quotePrefix="0" xfId="0">
      <alignment horizontal="center"/>
    </xf>
    <xf numFmtId="2" fontId="4" fillId="0" borderId="2" applyAlignment="1" pivotButton="0" quotePrefix="0" xfId="0">
      <alignment horizontal="center"/>
    </xf>
    <xf numFmtId="2" fontId="5" fillId="0" borderId="0" pivotButton="0" quotePrefix="0" xfId="0"/>
    <xf numFmtId="0" fontId="4" fillId="0" borderId="2" pivotButton="0" quotePrefix="0" xfId="0"/>
    <xf numFmtId="0" fontId="7" fillId="0" borderId="2" pivotButton="0" quotePrefix="0" xfId="0"/>
    <xf numFmtId="165" fontId="3" fillId="2" borderId="2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" fontId="0" fillId="0" borderId="2" applyAlignment="1" pivotButton="0" quotePrefix="0" xfId="0">
      <alignment horizontal="center"/>
    </xf>
    <xf numFmtId="2" fontId="0" fillId="0" borderId="2" applyAlignment="1" pivotButton="0" quotePrefix="0" xfId="0">
      <alignment horizontal="center"/>
    </xf>
    <xf numFmtId="164" fontId="0" fillId="0" borderId="2" applyAlignment="1" pivotButton="0" quotePrefix="0" xfId="0">
      <alignment horizontal="center"/>
    </xf>
    <xf numFmtId="2" fontId="7" fillId="4" borderId="2" applyAlignment="1" pivotButton="0" quotePrefix="0" xfId="0">
      <alignment horizontal="center"/>
    </xf>
    <xf numFmtId="0" fontId="7" fillId="0" borderId="0" pivotButton="0" quotePrefix="0" xfId="0"/>
    <xf numFmtId="165" fontId="7" fillId="0" borderId="3" applyAlignment="1" pivotButton="0" quotePrefix="0" xfId="0">
      <alignment horizontal="center"/>
    </xf>
    <xf numFmtId="2" fontId="0" fillId="5" borderId="2" applyAlignment="1" pivotButton="0" quotePrefix="0" xfId="0">
      <alignment horizontal="center"/>
    </xf>
    <xf numFmtId="2" fontId="0" fillId="4" borderId="2" applyAlignment="1" pivotButton="0" quotePrefix="0" xfId="0">
      <alignment horizontal="center"/>
    </xf>
    <xf numFmtId="2" fontId="0" fillId="2" borderId="2" applyAlignment="1" pivotButton="0" quotePrefix="0" xfId="0">
      <alignment horizontal="center"/>
    </xf>
    <xf numFmtId="0" fontId="8" fillId="0" borderId="0" pivotButton="0" quotePrefix="0" xfId="0"/>
    <xf numFmtId="0" fontId="5" fillId="0" borderId="0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M107"/>
  <sheetViews>
    <sheetView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8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  <col width="12" customWidth="1" min="12" max="12"/>
    <col width="12" customWidth="1" min="13" max="13"/>
  </cols>
  <sheetData>
    <row r="1">
      <c r="B1" s="1" t="inlineStr">
        <is>
          <t>TAA Dashboard</t>
        </is>
      </c>
    </row>
    <row r="3">
      <c r="B3" s="2" t="inlineStr">
        <is>
          <t>Parameters</t>
        </is>
      </c>
      <c r="H3" s="2" t="inlineStr">
        <is>
          <t>View Signal 매핑</t>
        </is>
      </c>
    </row>
    <row r="4">
      <c r="B4" s="3" t="inlineStr">
        <is>
          <t>α (확신도)</t>
        </is>
      </c>
      <c r="C4" s="4" t="n">
        <v>0.5</v>
      </c>
      <c r="E4" s="5" t="inlineStr">
        <is>
          <t>← 0~1 (보수적 → 적극적)</t>
        </is>
      </c>
      <c r="H4" s="6" t="inlineStr">
        <is>
          <t>View</t>
        </is>
      </c>
      <c r="I4" s="6" t="inlineStr">
        <is>
          <t>Signal</t>
        </is>
      </c>
    </row>
    <row r="5">
      <c r="B5" s="3" t="inlineStr">
        <is>
          <t>SAA 가중치 (w)</t>
        </is>
      </c>
      <c r="C5" s="4" t="n">
        <v>0.5</v>
      </c>
      <c r="E5" s="5" t="inlineStr">
        <is>
          <t>← 0=Peer중심, 1=SAA중심</t>
        </is>
      </c>
      <c r="H5" s="7" t="inlineStr">
        <is>
          <t>Strong OW</t>
        </is>
      </c>
      <c r="I5" s="8" t="n">
        <v>2</v>
      </c>
    </row>
    <row r="6">
      <c r="B6" s="3" t="inlineStr">
        <is>
          <t>Tilt Rate</t>
        </is>
      </c>
      <c r="C6" s="4" t="n">
        <v>0.2</v>
      </c>
      <c r="E6" s="5" t="inlineStr">
        <is>
          <t>← Base 대비 Tilt 비율</t>
        </is>
      </c>
      <c r="H6" s="7" t="inlineStr">
        <is>
          <t>Overweight</t>
        </is>
      </c>
      <c r="I6" s="8" t="n">
        <v>1</v>
      </c>
    </row>
    <row r="7">
      <c r="H7" s="7" t="inlineStr">
        <is>
          <t>Neutral</t>
        </is>
      </c>
      <c r="I7" s="8" t="n">
        <v>0</v>
      </c>
    </row>
    <row r="8">
      <c r="B8" s="2" t="inlineStr">
        <is>
          <t>자산군 시그널 (Step 1)</t>
        </is>
      </c>
      <c r="F8" s="2" t="inlineStr">
        <is>
          <t>Step 1 계산</t>
        </is>
      </c>
      <c r="H8" s="7" t="inlineStr">
        <is>
          <t>Underweight</t>
        </is>
      </c>
      <c r="I8" s="8" t="n">
        <v>-1</v>
      </c>
    </row>
    <row r="9">
      <c r="B9" s="6" t="inlineStr">
        <is>
          <t>자산군</t>
        </is>
      </c>
      <c r="C9" s="6" t="inlineStr">
        <is>
          <t>View</t>
        </is>
      </c>
      <c r="D9" s="6" t="inlineStr">
        <is>
          <t>Score</t>
        </is>
      </c>
      <c r="F9" s="6" t="inlineStr">
        <is>
          <t>항목</t>
        </is>
      </c>
      <c r="G9" s="6" t="inlineStr">
        <is>
          <t>값</t>
        </is>
      </c>
      <c r="H9" s="7" t="inlineStr">
        <is>
          <t>Strong UW</t>
        </is>
      </c>
      <c r="I9" s="8" t="n">
        <v>-2</v>
      </c>
    </row>
    <row r="10">
      <c r="B10" s="9" t="inlineStr">
        <is>
          <t>주식</t>
        </is>
      </c>
      <c r="C10" s="10" t="inlineStr">
        <is>
          <t>Neutral</t>
        </is>
      </c>
      <c r="D10" s="11">
        <f>VLOOKUP(C10,$H$5:$I$9,2,FALSE)</f>
        <v/>
      </c>
      <c r="F10" s="12" t="inlineStr">
        <is>
          <t>Shift(%p)</t>
        </is>
      </c>
      <c r="G10" s="13">
        <f>(D10-D11)*2.5</f>
        <v/>
      </c>
    </row>
    <row r="11">
      <c r="B11" s="9" t="inlineStr">
        <is>
          <t>채권</t>
        </is>
      </c>
      <c r="C11" s="10" t="inlineStr">
        <is>
          <t>Neutral</t>
        </is>
      </c>
      <c r="D11" s="11">
        <f>VLOOKUP(C11,$H$5:$I$9,2,FALSE)</f>
        <v/>
      </c>
      <c r="F11" s="12" t="inlineStr">
        <is>
          <t>주식 비중(%)</t>
        </is>
      </c>
      <c r="G11" s="14">
        <f>H11-IF(H11&gt;=H12,MAX(H11+H12-100,0),0)</f>
        <v/>
      </c>
      <c r="H11" s="15">
        <f>MAX(SUMIF($B$15:$B$22,"주식",$D$15:$D$22)+$G$10,0)</f>
        <v/>
      </c>
    </row>
    <row r="12">
      <c r="F12" s="12" t="inlineStr">
        <is>
          <t>채권 비중(%)</t>
        </is>
      </c>
      <c r="G12" s="14">
        <f>H12-IF(H12&gt;H11,MAX(H11+H12-100,0),0)</f>
        <v/>
      </c>
      <c r="H12" s="15">
        <f>MAX(SUMIF($B$15:$B$22,"채권",$D$15:$D$22)-$G$10,0)</f>
        <v/>
      </c>
    </row>
    <row r="13">
      <c r="B13" s="2" t="inlineStr">
        <is>
          <t>Region Inputs</t>
        </is>
      </c>
    </row>
    <row r="14">
      <c r="B14" s="6" t="inlineStr">
        <is>
          <t>자산</t>
        </is>
      </c>
      <c r="C14" s="6" t="inlineStr">
        <is>
          <t>지역</t>
        </is>
      </c>
      <c r="D14" s="6" t="inlineStr">
        <is>
          <t>SAA(%)</t>
        </is>
      </c>
      <c r="E14" s="6" t="inlineStr">
        <is>
          <t>Peer(%)</t>
        </is>
      </c>
      <c r="F14" s="6" t="inlineStr">
        <is>
          <t>View</t>
        </is>
      </c>
    </row>
    <row r="15">
      <c r="B15" s="16" t="inlineStr">
        <is>
          <t>주식</t>
        </is>
      </c>
      <c r="C15" s="17" t="inlineStr">
        <is>
          <t>미국</t>
        </is>
      </c>
      <c r="D15" s="18" t="n">
        <v>49</v>
      </c>
      <c r="E15" s="18" t="n">
        <v>45.5</v>
      </c>
      <c r="F15" s="10" t="inlineStr">
        <is>
          <t>Neutral</t>
        </is>
      </c>
    </row>
    <row r="16">
      <c r="B16" s="16" t="inlineStr">
        <is>
          <t>주식</t>
        </is>
      </c>
      <c r="C16" s="17" t="inlineStr">
        <is>
          <t>유럽</t>
        </is>
      </c>
      <c r="D16" s="18" t="n">
        <v>10.5</v>
      </c>
      <c r="E16" s="18" t="n">
        <v>12.6</v>
      </c>
      <c r="F16" s="10" t="inlineStr">
        <is>
          <t>Neutral</t>
        </is>
      </c>
    </row>
    <row r="17">
      <c r="B17" s="16" t="inlineStr">
        <is>
          <t>주식</t>
        </is>
      </c>
      <c r="C17" s="17" t="inlineStr">
        <is>
          <t>일본</t>
        </is>
      </c>
      <c r="D17" s="18" t="n">
        <v>3.5</v>
      </c>
      <c r="E17" s="18" t="n">
        <v>3.5</v>
      </c>
      <c r="F17" s="10" t="inlineStr">
        <is>
          <t>Neutral</t>
        </is>
      </c>
    </row>
    <row r="18">
      <c r="B18" s="16" t="inlineStr">
        <is>
          <t>주식</t>
        </is>
      </c>
      <c r="C18" s="17" t="inlineStr">
        <is>
          <t>중국</t>
        </is>
      </c>
      <c r="D18" s="18" t="n">
        <v>2.1</v>
      </c>
      <c r="E18" s="18" t="n">
        <v>3.5</v>
      </c>
      <c r="F18" s="10" t="inlineStr">
        <is>
          <t>Neutral</t>
        </is>
      </c>
    </row>
    <row r="19">
      <c r="B19" s="16" t="inlineStr">
        <is>
          <t>주식</t>
        </is>
      </c>
      <c r="C19" s="17" t="inlineStr">
        <is>
          <t>한국</t>
        </is>
      </c>
      <c r="D19" s="18" t="n">
        <v>3.5</v>
      </c>
      <c r="E19" s="18" t="n">
        <v>2.1</v>
      </c>
      <c r="F19" s="10" t="inlineStr">
        <is>
          <t>Neutral</t>
        </is>
      </c>
    </row>
    <row r="20">
      <c r="B20" s="16" t="inlineStr">
        <is>
          <t>주식</t>
        </is>
      </c>
      <c r="C20" s="17" t="inlineStr">
        <is>
          <t>기타</t>
        </is>
      </c>
      <c r="D20" s="18" t="n">
        <v>1.4</v>
      </c>
      <c r="E20" s="18" t="n">
        <v>2.8</v>
      </c>
      <c r="F20" s="10" t="inlineStr">
        <is>
          <t>Neutral</t>
        </is>
      </c>
    </row>
    <row r="21">
      <c r="B21" s="16" t="inlineStr">
        <is>
          <t>채권</t>
        </is>
      </c>
      <c r="C21" s="17" t="inlineStr">
        <is>
          <t>미국</t>
        </is>
      </c>
      <c r="D21" s="18" t="n">
        <v>21</v>
      </c>
      <c r="E21" s="18" t="n">
        <v>18</v>
      </c>
      <c r="F21" s="10" t="inlineStr">
        <is>
          <t>Neutral</t>
        </is>
      </c>
    </row>
    <row r="22">
      <c r="B22" s="16" t="inlineStr">
        <is>
          <t>채권</t>
        </is>
      </c>
      <c r="C22" s="17" t="inlineStr">
        <is>
          <t>한국</t>
        </is>
      </c>
      <c r="D22" s="18" t="n">
        <v>9</v>
      </c>
      <c r="E22" s="18" t="n">
        <v>12</v>
      </c>
      <c r="F22" s="10" t="inlineStr">
        <is>
          <t>Neutral</t>
        </is>
      </c>
    </row>
    <row r="24">
      <c r="B24" s="2" t="inlineStr">
        <is>
          <t>Calculation (Step 2)</t>
        </is>
      </c>
    </row>
    <row r="25">
      <c r="B25" s="6" t="inlineStr">
        <is>
          <t>자산</t>
        </is>
      </c>
      <c r="C25" s="6" t="inlineStr">
        <is>
          <t>지역</t>
        </is>
      </c>
      <c r="D25" s="6" t="inlineStr">
        <is>
          <t>SAA</t>
        </is>
      </c>
      <c r="E25" s="6" t="inlineStr">
        <is>
          <t>Peer</t>
        </is>
      </c>
      <c r="F25" s="6" t="inlineStr">
        <is>
          <t>Signal</t>
        </is>
      </c>
      <c r="G25" s="6" t="inlineStr">
        <is>
          <t>Base</t>
        </is>
      </c>
      <c r="H25" s="6" t="inlineStr">
        <is>
          <t>Tilt</t>
        </is>
      </c>
      <c r="I25" s="6" t="inlineStr">
        <is>
          <t>Adj</t>
        </is>
      </c>
      <c r="J25" s="6" t="inlineStr">
        <is>
          <t>Raw</t>
        </is>
      </c>
      <c r="K25" s="6" t="inlineStr">
        <is>
          <t>TAA(%)</t>
        </is>
      </c>
      <c r="L25" s="6" t="inlineStr">
        <is>
          <t>vs Peer</t>
        </is>
      </c>
      <c r="M25" s="6" t="inlineStr">
        <is>
          <t>vs SAA</t>
        </is>
      </c>
    </row>
    <row r="26">
      <c r="B26" s="9">
        <f>B15</f>
        <v/>
      </c>
      <c r="C26" s="19">
        <f>C15</f>
        <v/>
      </c>
      <c r="D26" s="20">
        <f>D15</f>
        <v/>
      </c>
      <c r="E26" s="20">
        <f>E15</f>
        <v/>
      </c>
      <c r="F26" s="21">
        <f>VLOOKUP(F15,$H$5:$I$9,2,FALSE)</f>
        <v/>
      </c>
      <c r="G26" s="22">
        <f>$C$5*D26+(1-$C$5)*E26</f>
        <v/>
      </c>
      <c r="H26" s="22">
        <f>G26*$C$6</f>
        <v/>
      </c>
      <c r="I26" s="23">
        <f>$C$4*F26*H26</f>
        <v/>
      </c>
      <c r="J26" s="22">
        <f>MAX(G26+I26, 0)</f>
        <v/>
      </c>
      <c r="K26" s="24">
        <f>IF(IF(B26="주식",$G$11,$G$12)=0,0,J26/SUMIF($B$26:$B$33,B26,$J$26:$J$33)*IF(B26="주식",$G$11,$G$12))</f>
        <v/>
      </c>
      <c r="L26" s="23">
        <f>K26-E26</f>
        <v/>
      </c>
      <c r="M26" s="23">
        <f>K26-D26</f>
        <v/>
      </c>
    </row>
    <row r="27">
      <c r="B27" s="9">
        <f>B16</f>
        <v/>
      </c>
      <c r="C27" s="19">
        <f>C16</f>
        <v/>
      </c>
      <c r="D27" s="20">
        <f>D16</f>
        <v/>
      </c>
      <c r="E27" s="20">
        <f>E16</f>
        <v/>
      </c>
      <c r="F27" s="21">
        <f>VLOOKUP(F16,$H$5:$I$9,2,FALSE)</f>
        <v/>
      </c>
      <c r="G27" s="22">
        <f>$C$5*D27+(1-$C$5)*E27</f>
        <v/>
      </c>
      <c r="H27" s="22">
        <f>G27*$C$6</f>
        <v/>
      </c>
      <c r="I27" s="23">
        <f>$C$4*F27*H27</f>
        <v/>
      </c>
      <c r="J27" s="22">
        <f>MAX(G27+I27, 0)</f>
        <v/>
      </c>
      <c r="K27" s="24">
        <f>IF(IF(B27="주식",$G$11,$G$12)=0,0,J27/SUMIF($B$26:$B$33,B27,$J$26:$J$33)*IF(B27="주식",$G$11,$G$12))</f>
        <v/>
      </c>
      <c r="L27" s="23">
        <f>K27-E27</f>
        <v/>
      </c>
      <c r="M27" s="23">
        <f>K27-D27</f>
        <v/>
      </c>
    </row>
    <row r="28">
      <c r="B28" s="9">
        <f>B17</f>
        <v/>
      </c>
      <c r="C28" s="19">
        <f>C17</f>
        <v/>
      </c>
      <c r="D28" s="20">
        <f>D17</f>
        <v/>
      </c>
      <c r="E28" s="20">
        <f>E17</f>
        <v/>
      </c>
      <c r="F28" s="21">
        <f>VLOOKUP(F17,$H$5:$I$9,2,FALSE)</f>
        <v/>
      </c>
      <c r="G28" s="22">
        <f>$C$5*D28+(1-$C$5)*E28</f>
        <v/>
      </c>
      <c r="H28" s="22">
        <f>G28*$C$6</f>
        <v/>
      </c>
      <c r="I28" s="23">
        <f>$C$4*F28*H28</f>
        <v/>
      </c>
      <c r="J28" s="22">
        <f>MAX(G28+I28, 0)</f>
        <v/>
      </c>
      <c r="K28" s="24">
        <f>IF(IF(B28="주식",$G$11,$G$12)=0,0,J28/SUMIF($B$26:$B$33,B28,$J$26:$J$33)*IF(B28="주식",$G$11,$G$12))</f>
        <v/>
      </c>
      <c r="L28" s="23">
        <f>K28-E28</f>
        <v/>
      </c>
      <c r="M28" s="23">
        <f>K28-D28</f>
        <v/>
      </c>
    </row>
    <row r="29">
      <c r="B29" s="9">
        <f>B18</f>
        <v/>
      </c>
      <c r="C29" s="19">
        <f>C18</f>
        <v/>
      </c>
      <c r="D29" s="20">
        <f>D18</f>
        <v/>
      </c>
      <c r="E29" s="20">
        <f>E18</f>
        <v/>
      </c>
      <c r="F29" s="21">
        <f>VLOOKUP(F18,$H$5:$I$9,2,FALSE)</f>
        <v/>
      </c>
      <c r="G29" s="22">
        <f>$C$5*D29+(1-$C$5)*E29</f>
        <v/>
      </c>
      <c r="H29" s="22">
        <f>G29*$C$6</f>
        <v/>
      </c>
      <c r="I29" s="23">
        <f>$C$4*F29*H29</f>
        <v/>
      </c>
      <c r="J29" s="22">
        <f>MAX(G29+I29, 0)</f>
        <v/>
      </c>
      <c r="K29" s="24">
        <f>IF(IF(B29="주식",$G$11,$G$12)=0,0,J29/SUMIF($B$26:$B$33,B29,$J$26:$J$33)*IF(B29="주식",$G$11,$G$12))</f>
        <v/>
      </c>
      <c r="L29" s="23">
        <f>K29-E29</f>
        <v/>
      </c>
      <c r="M29" s="23">
        <f>K29-D29</f>
        <v/>
      </c>
    </row>
    <row r="30">
      <c r="B30" s="9">
        <f>B19</f>
        <v/>
      </c>
      <c r="C30" s="19">
        <f>C19</f>
        <v/>
      </c>
      <c r="D30" s="20">
        <f>D19</f>
        <v/>
      </c>
      <c r="E30" s="20">
        <f>E19</f>
        <v/>
      </c>
      <c r="F30" s="21">
        <f>VLOOKUP(F19,$H$5:$I$9,2,FALSE)</f>
        <v/>
      </c>
      <c r="G30" s="22">
        <f>$C$5*D30+(1-$C$5)*E30</f>
        <v/>
      </c>
      <c r="H30" s="22">
        <f>G30*$C$6</f>
        <v/>
      </c>
      <c r="I30" s="23">
        <f>$C$4*F30*H30</f>
        <v/>
      </c>
      <c r="J30" s="22">
        <f>MAX(G30+I30, 0)</f>
        <v/>
      </c>
      <c r="K30" s="24">
        <f>IF(IF(B30="주식",$G$11,$G$12)=0,0,J30/SUMIF($B$26:$B$33,B30,$J$26:$J$33)*IF(B30="주식",$G$11,$G$12))</f>
        <v/>
      </c>
      <c r="L30" s="23">
        <f>K30-E30</f>
        <v/>
      </c>
      <c r="M30" s="23">
        <f>K30-D30</f>
        <v/>
      </c>
    </row>
    <row r="31">
      <c r="B31" s="9">
        <f>B20</f>
        <v/>
      </c>
      <c r="C31" s="19">
        <f>C20</f>
        <v/>
      </c>
      <c r="D31" s="20">
        <f>D20</f>
        <v/>
      </c>
      <c r="E31" s="20">
        <f>E20</f>
        <v/>
      </c>
      <c r="F31" s="21">
        <f>VLOOKUP(F20,$H$5:$I$9,2,FALSE)</f>
        <v/>
      </c>
      <c r="G31" s="22">
        <f>$C$5*D31+(1-$C$5)*E31</f>
        <v/>
      </c>
      <c r="H31" s="22">
        <f>G31*$C$6</f>
        <v/>
      </c>
      <c r="I31" s="23">
        <f>$C$4*F31*H31</f>
        <v/>
      </c>
      <c r="J31" s="22">
        <f>MAX(G31+I31, 0)</f>
        <v/>
      </c>
      <c r="K31" s="24">
        <f>IF(IF(B31="주식",$G$11,$G$12)=0,0,J31/SUMIF($B$26:$B$33,B31,$J$26:$J$33)*IF(B31="주식",$G$11,$G$12))</f>
        <v/>
      </c>
      <c r="L31" s="23">
        <f>K31-E31</f>
        <v/>
      </c>
      <c r="M31" s="23">
        <f>K31-D31</f>
        <v/>
      </c>
    </row>
    <row r="32">
      <c r="B32" s="9">
        <f>B21</f>
        <v/>
      </c>
      <c r="C32" s="19">
        <f>C21</f>
        <v/>
      </c>
      <c r="D32" s="20">
        <f>D21</f>
        <v/>
      </c>
      <c r="E32" s="20">
        <f>E21</f>
        <v/>
      </c>
      <c r="F32" s="21">
        <f>VLOOKUP(F21,$H$5:$I$9,2,FALSE)</f>
        <v/>
      </c>
      <c r="G32" s="22">
        <f>$C$5*D32+(1-$C$5)*E32</f>
        <v/>
      </c>
      <c r="H32" s="22">
        <f>G32*$C$6</f>
        <v/>
      </c>
      <c r="I32" s="23">
        <f>$C$4*F32*H32</f>
        <v/>
      </c>
      <c r="J32" s="22">
        <f>MAX(G32+I32, 0)</f>
        <v/>
      </c>
      <c r="K32" s="24">
        <f>IF(IF(B32="주식",$G$11,$G$12)=0,0,J32/SUMIF($B$26:$B$33,B32,$J$26:$J$33)*IF(B32="주식",$G$11,$G$12))</f>
        <v/>
      </c>
      <c r="L32" s="23">
        <f>K32-E32</f>
        <v/>
      </c>
      <c r="M32" s="23">
        <f>K32-D32</f>
        <v/>
      </c>
    </row>
    <row r="33">
      <c r="B33" s="9">
        <f>B22</f>
        <v/>
      </c>
      <c r="C33" s="19">
        <f>C22</f>
        <v/>
      </c>
      <c r="D33" s="20">
        <f>D22</f>
        <v/>
      </c>
      <c r="E33" s="20">
        <f>E22</f>
        <v/>
      </c>
      <c r="F33" s="21">
        <f>VLOOKUP(F22,$H$5:$I$9,2,FALSE)</f>
        <v/>
      </c>
      <c r="G33" s="22">
        <f>$C$5*D33+(1-$C$5)*E33</f>
        <v/>
      </c>
      <c r="H33" s="22">
        <f>G33*$C$6</f>
        <v/>
      </c>
      <c r="I33" s="23">
        <f>$C$4*F33*H33</f>
        <v/>
      </c>
      <c r="J33" s="22">
        <f>MAX(G33+I33, 0)</f>
        <v/>
      </c>
      <c r="K33" s="24">
        <f>IF(IF(B33="주식",$G$11,$G$12)=0,0,J33/SUMIF($B$26:$B$33,B33,$J$26:$J$33)*IF(B33="주식",$G$11,$G$12))</f>
        <v/>
      </c>
      <c r="L33" s="23">
        <f>K33-E33</f>
        <v/>
      </c>
      <c r="M33" s="23">
        <f>K33-D33</f>
        <v/>
      </c>
    </row>
    <row r="34">
      <c r="B34" s="25" t="inlineStr">
        <is>
          <t>합계</t>
        </is>
      </c>
      <c r="D34" s="26">
        <f>SUM(D26:D33)</f>
        <v/>
      </c>
      <c r="E34" s="26">
        <f>SUM(E26:E33)</f>
        <v/>
      </c>
      <c r="G34" s="26">
        <f>SUM(G26:G33)</f>
        <v/>
      </c>
      <c r="J34" s="26">
        <f>SUM(J26:J33)</f>
        <v/>
      </c>
      <c r="K34" s="26">
        <f>SUM(K26:K33)</f>
        <v/>
      </c>
    </row>
    <row r="36">
      <c r="B36" s="2" t="inlineStr">
        <is>
          <t>Range (허용 범위)</t>
        </is>
      </c>
    </row>
    <row r="37">
      <c r="B37" s="6" t="inlineStr">
        <is>
          <t>자산</t>
        </is>
      </c>
      <c r="C37" s="6" t="inlineStr">
        <is>
          <t>지역</t>
        </is>
      </c>
      <c r="D37" s="6" t="inlineStr">
        <is>
          <t>액티브(%)</t>
        </is>
      </c>
      <c r="E37" s="6" t="inlineStr">
        <is>
          <t>EMP(%)</t>
        </is>
      </c>
      <c r="F37" s="6" t="inlineStr">
        <is>
          <t>TAA(%)</t>
        </is>
      </c>
      <c r="G37" s="6" t="inlineStr">
        <is>
          <t>Half Width</t>
        </is>
      </c>
      <c r="H37" s="6" t="inlineStr">
        <is>
          <t>Low(%)</t>
        </is>
      </c>
      <c r="I37" s="6" t="inlineStr">
        <is>
          <t>High(%)</t>
        </is>
      </c>
    </row>
    <row r="38">
      <c r="B38" s="9">
        <f>B26</f>
        <v/>
      </c>
      <c r="C38" s="19">
        <f>C26</f>
        <v/>
      </c>
      <c r="D38" s="27">
        <f>D15</f>
        <v/>
      </c>
      <c r="E38" s="27">
        <f>D15</f>
        <v/>
      </c>
      <c r="F38" s="28">
        <f>K26</f>
        <v/>
      </c>
      <c r="G38" s="20">
        <f>IF(F38&gt;=20, 7.5, IF(F38&gt;=10, 5.0, 2.5))</f>
        <v/>
      </c>
      <c r="H38" s="29">
        <f>MAX(F38-G38, 0)</f>
        <v/>
      </c>
      <c r="I38" s="29">
        <f>F38+G38</f>
        <v/>
      </c>
    </row>
    <row r="39">
      <c r="B39" s="9">
        <f>B27</f>
        <v/>
      </c>
      <c r="C39" s="19">
        <f>C27</f>
        <v/>
      </c>
      <c r="D39" s="27">
        <f>D16</f>
        <v/>
      </c>
      <c r="E39" s="27">
        <f>D16</f>
        <v/>
      </c>
      <c r="F39" s="28">
        <f>K27</f>
        <v/>
      </c>
      <c r="G39" s="20">
        <f>IF(F39&gt;=20, 7.5, IF(F39&gt;=10, 5.0, 2.5))</f>
        <v/>
      </c>
      <c r="H39" s="29">
        <f>MAX(F39-G39, 0)</f>
        <v/>
      </c>
      <c r="I39" s="29">
        <f>F39+G39</f>
        <v/>
      </c>
    </row>
    <row r="40">
      <c r="B40" s="9">
        <f>B28</f>
        <v/>
      </c>
      <c r="C40" s="19">
        <f>C28</f>
        <v/>
      </c>
      <c r="D40" s="27">
        <f>D17</f>
        <v/>
      </c>
      <c r="E40" s="27">
        <f>D17</f>
        <v/>
      </c>
      <c r="F40" s="28">
        <f>K28</f>
        <v/>
      </c>
      <c r="G40" s="20">
        <f>IF(F40&gt;=20, 7.5, IF(F40&gt;=10, 5.0, 2.5))</f>
        <v/>
      </c>
      <c r="H40" s="29">
        <f>MAX(F40-G40, 0)</f>
        <v/>
      </c>
      <c r="I40" s="29">
        <f>F40+G40</f>
        <v/>
      </c>
    </row>
    <row r="41">
      <c r="B41" s="9">
        <f>B29</f>
        <v/>
      </c>
      <c r="C41" s="19">
        <f>C29</f>
        <v/>
      </c>
      <c r="D41" s="27">
        <f>D18</f>
        <v/>
      </c>
      <c r="E41" s="27">
        <f>D18</f>
        <v/>
      </c>
      <c r="F41" s="28">
        <f>K29</f>
        <v/>
      </c>
      <c r="G41" s="20">
        <f>IF(F41&gt;=20, 7.5, IF(F41&gt;=10, 5.0, 2.5))</f>
        <v/>
      </c>
      <c r="H41" s="29">
        <f>MAX(F41-G41, 0)</f>
        <v/>
      </c>
      <c r="I41" s="29">
        <f>F41+G41</f>
        <v/>
      </c>
    </row>
    <row r="42">
      <c r="B42" s="9">
        <f>B30</f>
        <v/>
      </c>
      <c r="C42" s="19">
        <f>C30</f>
        <v/>
      </c>
      <c r="D42" s="27">
        <f>D19</f>
        <v/>
      </c>
      <c r="E42" s="27">
        <f>D19</f>
        <v/>
      </c>
      <c r="F42" s="28">
        <f>K30</f>
        <v/>
      </c>
      <c r="G42" s="20">
        <f>IF(F42&gt;=20, 7.5, IF(F42&gt;=10, 5.0, 2.5))</f>
        <v/>
      </c>
      <c r="H42" s="29">
        <f>MAX(F42-G42, 0)</f>
        <v/>
      </c>
      <c r="I42" s="29">
        <f>F42+G42</f>
        <v/>
      </c>
    </row>
    <row r="43">
      <c r="B43" s="9">
        <f>B31</f>
        <v/>
      </c>
      <c r="C43" s="19">
        <f>C31</f>
        <v/>
      </c>
      <c r="D43" s="27">
        <f>D20</f>
        <v/>
      </c>
      <c r="E43" s="27">
        <f>D20</f>
        <v/>
      </c>
      <c r="F43" s="28">
        <f>K31</f>
        <v/>
      </c>
      <c r="G43" s="20">
        <f>IF(F43&gt;=20, 7.5, IF(F43&gt;=10, 5.0, 2.5))</f>
        <v/>
      </c>
      <c r="H43" s="29">
        <f>MAX(F43-G43, 0)</f>
        <v/>
      </c>
      <c r="I43" s="29">
        <f>F43+G43</f>
        <v/>
      </c>
    </row>
    <row r="44">
      <c r="B44" s="9">
        <f>B32</f>
        <v/>
      </c>
      <c r="C44" s="19">
        <f>C32</f>
        <v/>
      </c>
      <c r="D44" s="27">
        <f>D21</f>
        <v/>
      </c>
      <c r="E44" s="27">
        <f>D21</f>
        <v/>
      </c>
      <c r="F44" s="28">
        <f>K32</f>
        <v/>
      </c>
      <c r="G44" s="20">
        <f>IF(F44&gt;=20, 7.5, IF(F44&gt;=10, 5.0, 2.5))</f>
        <v/>
      </c>
      <c r="H44" s="29">
        <f>MAX(F44-G44, 0)</f>
        <v/>
      </c>
      <c r="I44" s="29">
        <f>F44+G44</f>
        <v/>
      </c>
    </row>
    <row r="45">
      <c r="B45" s="9">
        <f>B33</f>
        <v/>
      </c>
      <c r="C45" s="19">
        <f>C33</f>
        <v/>
      </c>
      <c r="D45" s="27">
        <f>D22</f>
        <v/>
      </c>
      <c r="E45" s="27">
        <f>D22</f>
        <v/>
      </c>
      <c r="F45" s="28">
        <f>K33</f>
        <v/>
      </c>
      <c r="G45" s="20">
        <f>IF(F45&gt;=20, 7.5, IF(F45&gt;=10, 5.0, 2.5))</f>
        <v/>
      </c>
      <c r="H45" s="29">
        <f>MAX(F45-G45, 0)</f>
        <v/>
      </c>
      <c r="I45" s="29">
        <f>F45+G45</f>
        <v/>
      </c>
    </row>
    <row r="48">
      <c r="B48" s="2" t="inlineStr">
        <is>
          <t>Formula Reference</t>
        </is>
      </c>
    </row>
    <row r="49">
      <c r="B49" s="30" t="inlineStr">
        <is>
          <t>[ Step 1 ] 자산군 비중 결정</t>
        </is>
      </c>
    </row>
    <row r="50">
      <c r="B50" s="30" t="inlineStr">
        <is>
          <t xml:space="preserve">  Shift = (주식 Score - 채권 Score) × 2.5%p</t>
        </is>
      </c>
    </row>
    <row r="51">
      <c r="B51" s="30" t="inlineStr">
        <is>
          <t xml:space="preserve">  주식 비중 = MAX(SAA_주식합 + Shift, 0),  채권 비중 = MAX(SAA_채권합 - Shift, 0)</t>
        </is>
      </c>
    </row>
    <row r="52">
      <c r="B52" s="30" t="inlineStr">
        <is>
          <t xml:space="preserve">  → 합계 보정: 초과분을 큰 쪽에서 차감</t>
        </is>
      </c>
    </row>
    <row r="53">
      <c r="B53" s="30" t="inlineStr"/>
    </row>
    <row r="54">
      <c r="B54" s="30" t="inlineStr">
        <is>
          <t>[ Step 2 ] 자산군 내 배분</t>
        </is>
      </c>
    </row>
    <row r="55">
      <c r="B55" s="30" t="inlineStr">
        <is>
          <t xml:space="preserve">  1. Signal_i = View → 수치 (SOW=+2, OW=+1, N=0, UW=-1, SUW=-2)</t>
        </is>
      </c>
    </row>
    <row r="56">
      <c r="B56" s="30" t="inlineStr">
        <is>
          <t xml:space="preserve">  2. Base_i = w × SAA_i + (1-w) × Peer_i</t>
        </is>
      </c>
    </row>
    <row r="57">
      <c r="B57" s="30" t="inlineStr">
        <is>
          <t xml:space="preserve">  3. Tilt_i = Base_i × Tilt Rate</t>
        </is>
      </c>
    </row>
    <row r="58">
      <c r="B58" s="30" t="inlineStr">
        <is>
          <t xml:space="preserve">  4. Adj_i = α × Signal_i × Tilt_i</t>
        </is>
      </c>
    </row>
    <row r="59">
      <c r="B59" s="30" t="inlineStr">
        <is>
          <t xml:space="preserve">  5. Raw_i = MAX( Base_i + Adj_i,  0 )</t>
        </is>
      </c>
    </row>
    <row r="60">
      <c r="B60" s="30" t="inlineStr">
        <is>
          <t xml:space="preserve">  6. TAA_i = Raw_i / Σ(같은자산군 Raw) × 자산군비중</t>
        </is>
      </c>
    </row>
    <row r="61">
      <c r="B61" s="30" t="inlineStr">
        <is>
          <t xml:space="preserve">  7. Range: TAA ≥ 20% → ±7.5%p, ≥ 10% → ±5%p, &lt; 10% → ±2.5%p</t>
        </is>
      </c>
    </row>
    <row r="62">
      <c r="B62" s="30" t="inlineStr"/>
    </row>
    <row r="63">
      <c r="B63" s="30" t="inlineStr">
        <is>
          <t>[ 빈티지 전파 ]</t>
        </is>
      </c>
    </row>
    <row r="64">
      <c r="B64" s="30" t="inlineStr">
        <is>
          <t xml:space="preserve">  Step 1. 빈티지 자산군비중 = 빈티지SAA ± Shift (동일 적용)</t>
        </is>
      </c>
    </row>
    <row r="65">
      <c r="B65" s="30" t="inlineStr">
        <is>
          <t xml:space="preserve">  Step 2. tilt_ratio_i = (Raw_2050_i - SAA_2050_i) / SAA_2050_i</t>
        </is>
      </c>
    </row>
    <row r="66">
      <c r="B66" s="30" t="inlineStr">
        <is>
          <t xml:space="preserve">          V_Raw_i = V_SAA_i × (1 + tilt_ratio_i)</t>
        </is>
      </c>
    </row>
    <row r="67">
      <c r="B67" s="30" t="inlineStr">
        <is>
          <t xml:space="preserve">          V_TAA = 빈티지자산군비중 × (V_Raw_i / Σ V_Raw_within_class)</t>
        </is>
      </c>
    </row>
    <row r="70">
      <c r="B70" s="2" t="inlineStr">
        <is>
          <t>TDF 2030  (주식 40% / 채권 60%)</t>
        </is>
      </c>
    </row>
    <row r="71">
      <c r="B71" s="5" t="inlineStr">
        <is>
          <t>Step 1</t>
        </is>
      </c>
      <c r="C71" s="31" t="inlineStr">
        <is>
          <t>V.주식비중</t>
        </is>
      </c>
      <c r="D71" s="31" t="inlineStr">
        <is>
          <t>V.채권비중</t>
        </is>
      </c>
      <c r="H71" s="32">
        <f>J71-IF(J71&gt;=K71,MAX(J71+K71-100,0),0)</f>
        <v/>
      </c>
      <c r="I71" s="32">
        <f>K71-IF(K71&gt;J71,MAX(J71+K71-100,0),0)</f>
        <v/>
      </c>
      <c r="J71" s="15">
        <f>MAX(40+$G$10,0)</f>
        <v/>
      </c>
      <c r="K71" s="15">
        <f>MAX(60-$G$10,0)</f>
        <v/>
      </c>
    </row>
    <row r="72">
      <c r="B72" s="6" t="inlineStr">
        <is>
          <t>자산</t>
        </is>
      </c>
      <c r="C72" s="6" t="inlineStr">
        <is>
          <t>지역</t>
        </is>
      </c>
      <c r="D72" s="6" t="inlineStr">
        <is>
          <t>V.SAA(%)</t>
        </is>
      </c>
      <c r="E72" s="6" t="inlineStr">
        <is>
          <t>Tilt Ratio</t>
        </is>
      </c>
      <c r="F72" s="6" t="inlineStr">
        <is>
          <t>V.Raw</t>
        </is>
      </c>
      <c r="G72" s="6" t="inlineStr">
        <is>
          <t>TAA(%)</t>
        </is>
      </c>
      <c r="H72" s="6" t="inlineStr">
        <is>
          <t>vs SAA</t>
        </is>
      </c>
      <c r="I72" s="6" t="inlineStr">
        <is>
          <t>Low(%)</t>
        </is>
      </c>
      <c r="J72" s="6" t="inlineStr">
        <is>
          <t>High(%)</t>
        </is>
      </c>
    </row>
    <row r="73">
      <c r="B73" s="9" t="inlineStr">
        <is>
          <t>주식</t>
        </is>
      </c>
      <c r="C73" s="19" t="inlineStr">
        <is>
          <t>미국</t>
        </is>
      </c>
      <c r="D73" s="22" t="n">
        <v>28</v>
      </c>
      <c r="E73" s="23">
        <f>IF(D26&gt;=0.5,(J26-D26)/D26,J26-D26)</f>
        <v/>
      </c>
      <c r="F73" s="22">
        <f>MAX(IF(D26&gt;=0.5,D73*(1+E73),D73+E73),0)</f>
        <v/>
      </c>
      <c r="G73" s="24">
        <f>IF(IF(B73="주식",H71,I71)=0,0,F73/SUMIF($B$73:$B$80,B73,$F$73:$F$80)*IF(B73="주식",H71,I71))</f>
        <v/>
      </c>
      <c r="H73" s="23">
        <f>G73-D73</f>
        <v/>
      </c>
      <c r="I73" s="22">
        <f>MAX(G73-IF(G73&gt;=20,7.5,IF(G73&gt;=10,5.0,2.5)),0)</f>
        <v/>
      </c>
      <c r="J73" s="22">
        <f>G73+IF(G73&gt;=20,7.5,IF(G73&gt;=10,5.0,2.5))</f>
        <v/>
      </c>
    </row>
    <row r="74">
      <c r="B74" s="9" t="inlineStr">
        <is>
          <t>주식</t>
        </is>
      </c>
      <c r="C74" s="19" t="inlineStr">
        <is>
          <t>유럽</t>
        </is>
      </c>
      <c r="D74" s="22" t="n">
        <v>6</v>
      </c>
      <c r="E74" s="23">
        <f>IF(D27&gt;=0.5,(J27-D27)/D27,J27-D27)</f>
        <v/>
      </c>
      <c r="F74" s="22">
        <f>MAX(IF(D27&gt;=0.5,D74*(1+E74),D74+E74),0)</f>
        <v/>
      </c>
      <c r="G74" s="24">
        <f>IF(IF(B74="주식",H71,I71)=0,0,F74/SUMIF($B$73:$B$80,B74,$F$73:$F$80)*IF(B74="주식",H71,I71))</f>
        <v/>
      </c>
      <c r="H74" s="23">
        <f>G74-D74</f>
        <v/>
      </c>
      <c r="I74" s="22">
        <f>MAX(G74-IF(G74&gt;=20,7.5,IF(G74&gt;=10,5.0,2.5)),0)</f>
        <v/>
      </c>
      <c r="J74" s="22">
        <f>G74+IF(G74&gt;=20,7.5,IF(G74&gt;=10,5.0,2.5))</f>
        <v/>
      </c>
    </row>
    <row r="75">
      <c r="B75" s="9" t="inlineStr">
        <is>
          <t>주식</t>
        </is>
      </c>
      <c r="C75" s="19" t="inlineStr">
        <is>
          <t>일본</t>
        </is>
      </c>
      <c r="D75" s="22" t="n">
        <v>2</v>
      </c>
      <c r="E75" s="23">
        <f>IF(D28&gt;=0.5,(J28-D28)/D28,J28-D28)</f>
        <v/>
      </c>
      <c r="F75" s="22">
        <f>MAX(IF(D28&gt;=0.5,D75*(1+E75),D75+E75),0)</f>
        <v/>
      </c>
      <c r="G75" s="24">
        <f>IF(IF(B75="주식",H71,I71)=0,0,F75/SUMIF($B$73:$B$80,B75,$F$73:$F$80)*IF(B75="주식",H71,I71))</f>
        <v/>
      </c>
      <c r="H75" s="23">
        <f>G75-D75</f>
        <v/>
      </c>
      <c r="I75" s="22">
        <f>MAX(G75-IF(G75&gt;=20,7.5,IF(G75&gt;=10,5.0,2.5)),0)</f>
        <v/>
      </c>
      <c r="J75" s="22">
        <f>G75+IF(G75&gt;=20,7.5,IF(G75&gt;=10,5.0,2.5))</f>
        <v/>
      </c>
    </row>
    <row r="76">
      <c r="B76" s="9" t="inlineStr">
        <is>
          <t>주식</t>
        </is>
      </c>
      <c r="C76" s="19" t="inlineStr">
        <is>
          <t>중국</t>
        </is>
      </c>
      <c r="D76" s="22" t="n">
        <v>1.2</v>
      </c>
      <c r="E76" s="23">
        <f>IF(D29&gt;=0.5,(J29-D29)/D29,J29-D29)</f>
        <v/>
      </c>
      <c r="F76" s="22">
        <f>MAX(IF(D29&gt;=0.5,D76*(1+E76),D76+E76),0)</f>
        <v/>
      </c>
      <c r="G76" s="24">
        <f>IF(IF(B76="주식",H71,I71)=0,0,F76/SUMIF($B$73:$B$80,B76,$F$73:$F$80)*IF(B76="주식",H71,I71))</f>
        <v/>
      </c>
      <c r="H76" s="23">
        <f>G76-D76</f>
        <v/>
      </c>
      <c r="I76" s="22">
        <f>MAX(G76-IF(G76&gt;=20,7.5,IF(G76&gt;=10,5.0,2.5)),0)</f>
        <v/>
      </c>
      <c r="J76" s="22">
        <f>G76+IF(G76&gt;=20,7.5,IF(G76&gt;=10,5.0,2.5))</f>
        <v/>
      </c>
    </row>
    <row r="77">
      <c r="B77" s="9" t="inlineStr">
        <is>
          <t>주식</t>
        </is>
      </c>
      <c r="C77" s="19" t="inlineStr">
        <is>
          <t>한국</t>
        </is>
      </c>
      <c r="D77" s="22" t="n">
        <v>2</v>
      </c>
      <c r="E77" s="23">
        <f>IF(D30&gt;=0.5,(J30-D30)/D30,J30-D30)</f>
        <v/>
      </c>
      <c r="F77" s="22">
        <f>MAX(IF(D30&gt;=0.5,D77*(1+E77),D77+E77),0)</f>
        <v/>
      </c>
      <c r="G77" s="24">
        <f>IF(IF(B77="주식",H71,I71)=0,0,F77/SUMIF($B$73:$B$80,B77,$F$73:$F$80)*IF(B77="주식",H71,I71))</f>
        <v/>
      </c>
      <c r="H77" s="23">
        <f>G77-D77</f>
        <v/>
      </c>
      <c r="I77" s="22">
        <f>MAX(G77-IF(G77&gt;=20,7.5,IF(G77&gt;=10,5.0,2.5)),0)</f>
        <v/>
      </c>
      <c r="J77" s="22">
        <f>G77+IF(G77&gt;=20,7.5,IF(G77&gt;=10,5.0,2.5))</f>
        <v/>
      </c>
    </row>
    <row r="78">
      <c r="B78" s="9" t="inlineStr">
        <is>
          <t>주식</t>
        </is>
      </c>
      <c r="C78" s="19" t="inlineStr">
        <is>
          <t>기타</t>
        </is>
      </c>
      <c r="D78" s="22" t="n">
        <v>0.8</v>
      </c>
      <c r="E78" s="23">
        <f>IF(D31&gt;=0.5,(J31-D31)/D31,J31-D31)</f>
        <v/>
      </c>
      <c r="F78" s="22">
        <f>MAX(IF(D31&gt;=0.5,D78*(1+E78),D78+E78),0)</f>
        <v/>
      </c>
      <c r="G78" s="24">
        <f>IF(IF(B78="주식",H71,I71)=0,0,F78/SUMIF($B$73:$B$80,B78,$F$73:$F$80)*IF(B78="주식",H71,I71))</f>
        <v/>
      </c>
      <c r="H78" s="23">
        <f>G78-D78</f>
        <v/>
      </c>
      <c r="I78" s="22">
        <f>MAX(G78-IF(G78&gt;=20,7.5,IF(G78&gt;=10,5.0,2.5)),0)</f>
        <v/>
      </c>
      <c r="J78" s="22">
        <f>G78+IF(G78&gt;=20,7.5,IF(G78&gt;=10,5.0,2.5))</f>
        <v/>
      </c>
    </row>
    <row r="79">
      <c r="B79" s="9" t="inlineStr">
        <is>
          <t>채권</t>
        </is>
      </c>
      <c r="C79" s="19" t="inlineStr">
        <is>
          <t>미국</t>
        </is>
      </c>
      <c r="D79" s="22" t="n">
        <v>42</v>
      </c>
      <c r="E79" s="23">
        <f>IF(D32&gt;=0.5,(J32-D32)/D32,J32-D32)</f>
        <v/>
      </c>
      <c r="F79" s="22">
        <f>MAX(IF(D32&gt;=0.5,D79*(1+E79),D79+E79),0)</f>
        <v/>
      </c>
      <c r="G79" s="24">
        <f>IF(IF(B79="주식",H71,I71)=0,0,F79/SUMIF($B$73:$B$80,B79,$F$73:$F$80)*IF(B79="주식",H71,I71))</f>
        <v/>
      </c>
      <c r="H79" s="23">
        <f>G79-D79</f>
        <v/>
      </c>
      <c r="I79" s="22">
        <f>MAX(G79-IF(G79&gt;=20,7.5,IF(G79&gt;=10,5.0,2.5)),0)</f>
        <v/>
      </c>
      <c r="J79" s="22">
        <f>G79+IF(G79&gt;=20,7.5,IF(G79&gt;=10,5.0,2.5))</f>
        <v/>
      </c>
    </row>
    <row r="80">
      <c r="B80" s="9" t="inlineStr">
        <is>
          <t>채권</t>
        </is>
      </c>
      <c r="C80" s="19" t="inlineStr">
        <is>
          <t>한국</t>
        </is>
      </c>
      <c r="D80" s="22" t="n">
        <v>18</v>
      </c>
      <c r="E80" s="23">
        <f>IF(D33&gt;=0.5,(J33-D33)/D33,J33-D33)</f>
        <v/>
      </c>
      <c r="F80" s="22">
        <f>MAX(IF(D33&gt;=0.5,D80*(1+E80),D80+E80),0)</f>
        <v/>
      </c>
      <c r="G80" s="24">
        <f>IF(IF(B80="주식",H71,I71)=0,0,F80/SUMIF($B$73:$B$80,B80,$F$73:$F$80)*IF(B80="주식",H71,I71))</f>
        <v/>
      </c>
      <c r="H80" s="23">
        <f>G80-D80</f>
        <v/>
      </c>
      <c r="I80" s="22">
        <f>MAX(G80-IF(G80&gt;=20,7.5,IF(G80&gt;=10,5.0,2.5)),0)</f>
        <v/>
      </c>
      <c r="J80" s="22">
        <f>G80+IF(G80&gt;=20,7.5,IF(G80&gt;=10,5.0,2.5))</f>
        <v/>
      </c>
    </row>
    <row r="81">
      <c r="B81" s="25" t="inlineStr">
        <is>
          <t>합계</t>
        </is>
      </c>
      <c r="D81" s="26">
        <f>SUM(D73:D80)</f>
        <v/>
      </c>
      <c r="G81" s="26">
        <f>SUM(G73:G80)</f>
        <v/>
      </c>
    </row>
    <row r="83">
      <c r="B83" s="2" t="inlineStr">
        <is>
          <t>TDF 2040  (주식 55% / 채권 45%)</t>
        </is>
      </c>
    </row>
    <row r="84">
      <c r="B84" s="5" t="inlineStr">
        <is>
          <t>Step 1</t>
        </is>
      </c>
      <c r="C84" s="31" t="inlineStr">
        <is>
          <t>V.주식비중</t>
        </is>
      </c>
      <c r="D84" s="31" t="inlineStr">
        <is>
          <t>V.채권비중</t>
        </is>
      </c>
      <c r="H84" s="32">
        <f>J84-IF(J84&gt;=K84,MAX(J84+K84-100,0),0)</f>
        <v/>
      </c>
      <c r="I84" s="32">
        <f>K84-IF(K84&gt;J84,MAX(J84+K84-100,0),0)</f>
        <v/>
      </c>
      <c r="J84" s="15">
        <f>MAX(55+$G$10,0)</f>
        <v/>
      </c>
      <c r="K84" s="15">
        <f>MAX(45-$G$10,0)</f>
        <v/>
      </c>
    </row>
    <row r="85">
      <c r="B85" s="6" t="inlineStr">
        <is>
          <t>자산</t>
        </is>
      </c>
      <c r="C85" s="6" t="inlineStr">
        <is>
          <t>지역</t>
        </is>
      </c>
      <c r="D85" s="6" t="inlineStr">
        <is>
          <t>V.SAA(%)</t>
        </is>
      </c>
      <c r="E85" s="6" t="inlineStr">
        <is>
          <t>Tilt Ratio</t>
        </is>
      </c>
      <c r="F85" s="6" t="inlineStr">
        <is>
          <t>V.Raw</t>
        </is>
      </c>
      <c r="G85" s="6" t="inlineStr">
        <is>
          <t>TAA(%)</t>
        </is>
      </c>
      <c r="H85" s="6" t="inlineStr">
        <is>
          <t>vs SAA</t>
        </is>
      </c>
      <c r="I85" s="6" t="inlineStr">
        <is>
          <t>Low(%)</t>
        </is>
      </c>
      <c r="J85" s="6" t="inlineStr">
        <is>
          <t>High(%)</t>
        </is>
      </c>
    </row>
    <row r="86">
      <c r="B86" s="9" t="inlineStr">
        <is>
          <t>주식</t>
        </is>
      </c>
      <c r="C86" s="19" t="inlineStr">
        <is>
          <t>미국</t>
        </is>
      </c>
      <c r="D86" s="22" t="n">
        <v>38.5</v>
      </c>
      <c r="E86" s="23">
        <f>IF(D26&gt;=0.5,(J26-D26)/D26,J26-D26)</f>
        <v/>
      </c>
      <c r="F86" s="22">
        <f>MAX(IF(D26&gt;=0.5,D86*(1+E86),D86+E86),0)</f>
        <v/>
      </c>
      <c r="G86" s="24">
        <f>IF(IF(B86="주식",H84,I84)=0,0,F86/SUMIF($B$86:$B$93,B86,$F$86:$F$93)*IF(B86="주식",H84,I84))</f>
        <v/>
      </c>
      <c r="H86" s="23">
        <f>G86-D86</f>
        <v/>
      </c>
      <c r="I86" s="22">
        <f>MAX(G86-IF(G86&gt;=20,7.5,IF(G86&gt;=10,5.0,2.5)),0)</f>
        <v/>
      </c>
      <c r="J86" s="22">
        <f>G86+IF(G86&gt;=20,7.5,IF(G86&gt;=10,5.0,2.5))</f>
        <v/>
      </c>
    </row>
    <row r="87">
      <c r="B87" s="9" t="inlineStr">
        <is>
          <t>주식</t>
        </is>
      </c>
      <c r="C87" s="19" t="inlineStr">
        <is>
          <t>유럽</t>
        </is>
      </c>
      <c r="D87" s="22" t="n">
        <v>8.25</v>
      </c>
      <c r="E87" s="23">
        <f>IF(D27&gt;=0.5,(J27-D27)/D27,J27-D27)</f>
        <v/>
      </c>
      <c r="F87" s="22">
        <f>MAX(IF(D27&gt;=0.5,D87*(1+E87),D87+E87),0)</f>
        <v/>
      </c>
      <c r="G87" s="24">
        <f>IF(IF(B87="주식",H84,I84)=0,0,F87/SUMIF($B$86:$B$93,B87,$F$86:$F$93)*IF(B87="주식",H84,I84))</f>
        <v/>
      </c>
      <c r="H87" s="23">
        <f>G87-D87</f>
        <v/>
      </c>
      <c r="I87" s="22">
        <f>MAX(G87-IF(G87&gt;=20,7.5,IF(G87&gt;=10,5.0,2.5)),0)</f>
        <v/>
      </c>
      <c r="J87" s="22">
        <f>G87+IF(G87&gt;=20,7.5,IF(G87&gt;=10,5.0,2.5))</f>
        <v/>
      </c>
    </row>
    <row r="88">
      <c r="B88" s="9" t="inlineStr">
        <is>
          <t>주식</t>
        </is>
      </c>
      <c r="C88" s="19" t="inlineStr">
        <is>
          <t>일본</t>
        </is>
      </c>
      <c r="D88" s="22" t="n">
        <v>2.75</v>
      </c>
      <c r="E88" s="23">
        <f>IF(D28&gt;=0.5,(J28-D28)/D28,J28-D28)</f>
        <v/>
      </c>
      <c r="F88" s="22">
        <f>MAX(IF(D28&gt;=0.5,D88*(1+E88),D88+E88),0)</f>
        <v/>
      </c>
      <c r="G88" s="24">
        <f>IF(IF(B88="주식",H84,I84)=0,0,F88/SUMIF($B$86:$B$93,B88,$F$86:$F$93)*IF(B88="주식",H84,I84))</f>
        <v/>
      </c>
      <c r="H88" s="23">
        <f>G88-D88</f>
        <v/>
      </c>
      <c r="I88" s="22">
        <f>MAX(G88-IF(G88&gt;=20,7.5,IF(G88&gt;=10,5.0,2.5)),0)</f>
        <v/>
      </c>
      <c r="J88" s="22">
        <f>G88+IF(G88&gt;=20,7.5,IF(G88&gt;=10,5.0,2.5))</f>
        <v/>
      </c>
    </row>
    <row r="89">
      <c r="B89" s="9" t="inlineStr">
        <is>
          <t>주식</t>
        </is>
      </c>
      <c r="C89" s="19" t="inlineStr">
        <is>
          <t>중국</t>
        </is>
      </c>
      <c r="D89" s="22" t="n">
        <v>1.65</v>
      </c>
      <c r="E89" s="23">
        <f>IF(D29&gt;=0.5,(J29-D29)/D29,J29-D29)</f>
        <v/>
      </c>
      <c r="F89" s="22">
        <f>MAX(IF(D29&gt;=0.5,D89*(1+E89),D89+E89),0)</f>
        <v/>
      </c>
      <c r="G89" s="24">
        <f>IF(IF(B89="주식",H84,I84)=0,0,F89/SUMIF($B$86:$B$93,B89,$F$86:$F$93)*IF(B89="주식",H84,I84))</f>
        <v/>
      </c>
      <c r="H89" s="23">
        <f>G89-D89</f>
        <v/>
      </c>
      <c r="I89" s="22">
        <f>MAX(G89-IF(G89&gt;=20,7.5,IF(G89&gt;=10,5.0,2.5)),0)</f>
        <v/>
      </c>
      <c r="J89" s="22">
        <f>G89+IF(G89&gt;=20,7.5,IF(G89&gt;=10,5.0,2.5))</f>
        <v/>
      </c>
    </row>
    <row r="90">
      <c r="B90" s="9" t="inlineStr">
        <is>
          <t>주식</t>
        </is>
      </c>
      <c r="C90" s="19" t="inlineStr">
        <is>
          <t>한국</t>
        </is>
      </c>
      <c r="D90" s="22" t="n">
        <v>2.75</v>
      </c>
      <c r="E90" s="23">
        <f>IF(D30&gt;=0.5,(J30-D30)/D30,J30-D30)</f>
        <v/>
      </c>
      <c r="F90" s="22">
        <f>MAX(IF(D30&gt;=0.5,D90*(1+E90),D90+E90),0)</f>
        <v/>
      </c>
      <c r="G90" s="24">
        <f>IF(IF(B90="주식",H84,I84)=0,0,F90/SUMIF($B$86:$B$93,B90,$F$86:$F$93)*IF(B90="주식",H84,I84))</f>
        <v/>
      </c>
      <c r="H90" s="23">
        <f>G90-D90</f>
        <v/>
      </c>
      <c r="I90" s="22">
        <f>MAX(G90-IF(G90&gt;=20,7.5,IF(G90&gt;=10,5.0,2.5)),0)</f>
        <v/>
      </c>
      <c r="J90" s="22">
        <f>G90+IF(G90&gt;=20,7.5,IF(G90&gt;=10,5.0,2.5))</f>
        <v/>
      </c>
    </row>
    <row r="91">
      <c r="B91" s="9" t="inlineStr">
        <is>
          <t>주식</t>
        </is>
      </c>
      <c r="C91" s="19" t="inlineStr">
        <is>
          <t>기타</t>
        </is>
      </c>
      <c r="D91" s="22" t="n">
        <v>1.1</v>
      </c>
      <c r="E91" s="23">
        <f>IF(D31&gt;=0.5,(J31-D31)/D31,J31-D31)</f>
        <v/>
      </c>
      <c r="F91" s="22">
        <f>MAX(IF(D31&gt;=0.5,D91*(1+E91),D91+E91),0)</f>
        <v/>
      </c>
      <c r="G91" s="24">
        <f>IF(IF(B91="주식",H84,I84)=0,0,F91/SUMIF($B$86:$B$93,B91,$F$86:$F$93)*IF(B91="주식",H84,I84))</f>
        <v/>
      </c>
      <c r="H91" s="23">
        <f>G91-D91</f>
        <v/>
      </c>
      <c r="I91" s="22">
        <f>MAX(G91-IF(G91&gt;=20,7.5,IF(G91&gt;=10,5.0,2.5)),0)</f>
        <v/>
      </c>
      <c r="J91" s="22">
        <f>G91+IF(G91&gt;=20,7.5,IF(G91&gt;=10,5.0,2.5))</f>
        <v/>
      </c>
    </row>
    <row r="92">
      <c r="B92" s="9" t="inlineStr">
        <is>
          <t>채권</t>
        </is>
      </c>
      <c r="C92" s="19" t="inlineStr">
        <is>
          <t>미국</t>
        </is>
      </c>
      <c r="D92" s="22" t="n">
        <v>31.5</v>
      </c>
      <c r="E92" s="23">
        <f>IF(D32&gt;=0.5,(J32-D32)/D32,J32-D32)</f>
        <v/>
      </c>
      <c r="F92" s="22">
        <f>MAX(IF(D32&gt;=0.5,D92*(1+E92),D92+E92),0)</f>
        <v/>
      </c>
      <c r="G92" s="24">
        <f>IF(IF(B92="주식",H84,I84)=0,0,F92/SUMIF($B$86:$B$93,B92,$F$86:$F$93)*IF(B92="주식",H84,I84))</f>
        <v/>
      </c>
      <c r="H92" s="23">
        <f>G92-D92</f>
        <v/>
      </c>
      <c r="I92" s="22">
        <f>MAX(G92-IF(G92&gt;=20,7.5,IF(G92&gt;=10,5.0,2.5)),0)</f>
        <v/>
      </c>
      <c r="J92" s="22">
        <f>G92+IF(G92&gt;=20,7.5,IF(G92&gt;=10,5.0,2.5))</f>
        <v/>
      </c>
    </row>
    <row r="93">
      <c r="B93" s="9" t="inlineStr">
        <is>
          <t>채권</t>
        </is>
      </c>
      <c r="C93" s="19" t="inlineStr">
        <is>
          <t>한국</t>
        </is>
      </c>
      <c r="D93" s="22" t="n">
        <v>13.5</v>
      </c>
      <c r="E93" s="23">
        <f>IF(D33&gt;=0.5,(J33-D33)/D33,J33-D33)</f>
        <v/>
      </c>
      <c r="F93" s="22">
        <f>MAX(IF(D33&gt;=0.5,D93*(1+E93),D93+E93),0)</f>
        <v/>
      </c>
      <c r="G93" s="24">
        <f>IF(IF(B93="주식",H84,I84)=0,0,F93/SUMIF($B$86:$B$93,B93,$F$86:$F$93)*IF(B93="주식",H84,I84))</f>
        <v/>
      </c>
      <c r="H93" s="23">
        <f>G93-D93</f>
        <v/>
      </c>
      <c r="I93" s="22">
        <f>MAX(G93-IF(G93&gt;=20,7.5,IF(G93&gt;=10,5.0,2.5)),0)</f>
        <v/>
      </c>
      <c r="J93" s="22">
        <f>G93+IF(G93&gt;=20,7.5,IF(G93&gt;=10,5.0,2.5))</f>
        <v/>
      </c>
    </row>
    <row r="94">
      <c r="B94" s="25" t="inlineStr">
        <is>
          <t>합계</t>
        </is>
      </c>
      <c r="D94" s="26">
        <f>SUM(D86:D93)</f>
        <v/>
      </c>
      <c r="G94" s="26">
        <f>SUM(G86:G93)</f>
        <v/>
      </c>
    </row>
    <row r="96">
      <c r="B96" s="2" t="inlineStr">
        <is>
          <t>TDF 2060  (주식 90% / 채권 10%)</t>
        </is>
      </c>
    </row>
    <row r="97">
      <c r="B97" s="5" t="inlineStr">
        <is>
          <t>Step 1</t>
        </is>
      </c>
      <c r="C97" s="31" t="inlineStr">
        <is>
          <t>V.주식비중</t>
        </is>
      </c>
      <c r="D97" s="31" t="inlineStr">
        <is>
          <t>V.채권비중</t>
        </is>
      </c>
      <c r="H97" s="32">
        <f>J97-IF(J97&gt;=K97,MAX(J97+K97-100,0),0)</f>
        <v/>
      </c>
      <c r="I97" s="32">
        <f>K97-IF(K97&gt;J97,MAX(J97+K97-100,0),0)</f>
        <v/>
      </c>
      <c r="J97" s="15">
        <f>MAX(90+$G$10,0)</f>
        <v/>
      </c>
      <c r="K97" s="15">
        <f>MAX(10-$G$10,0)</f>
        <v/>
      </c>
    </row>
    <row r="98">
      <c r="B98" s="6" t="inlineStr">
        <is>
          <t>자산</t>
        </is>
      </c>
      <c r="C98" s="6" t="inlineStr">
        <is>
          <t>지역</t>
        </is>
      </c>
      <c r="D98" s="6" t="inlineStr">
        <is>
          <t>V.SAA(%)</t>
        </is>
      </c>
      <c r="E98" s="6" t="inlineStr">
        <is>
          <t>Tilt Ratio</t>
        </is>
      </c>
      <c r="F98" s="6" t="inlineStr">
        <is>
          <t>V.Raw</t>
        </is>
      </c>
      <c r="G98" s="6" t="inlineStr">
        <is>
          <t>TAA(%)</t>
        </is>
      </c>
      <c r="H98" s="6" t="inlineStr">
        <is>
          <t>vs SAA</t>
        </is>
      </c>
      <c r="I98" s="6" t="inlineStr">
        <is>
          <t>Low(%)</t>
        </is>
      </c>
      <c r="J98" s="6" t="inlineStr">
        <is>
          <t>High(%)</t>
        </is>
      </c>
    </row>
    <row r="99">
      <c r="B99" s="9" t="inlineStr">
        <is>
          <t>주식</t>
        </is>
      </c>
      <c r="C99" s="19" t="inlineStr">
        <is>
          <t>미국</t>
        </is>
      </c>
      <c r="D99" s="22" t="n">
        <v>63</v>
      </c>
      <c r="E99" s="23">
        <f>IF(D26&gt;=0.5,(J26-D26)/D26,J26-D26)</f>
        <v/>
      </c>
      <c r="F99" s="22">
        <f>MAX(IF(D26&gt;=0.5,D99*(1+E99),D99+E99),0)</f>
        <v/>
      </c>
      <c r="G99" s="24">
        <f>IF(IF(B99="주식",H97,I97)=0,0,F99/SUMIF($B$99:$B$106,B99,$F$99:$F$106)*IF(B99="주식",H97,I97))</f>
        <v/>
      </c>
      <c r="H99" s="23">
        <f>G99-D99</f>
        <v/>
      </c>
      <c r="I99" s="22">
        <f>MAX(G99-IF(G99&gt;=20,7.5,IF(G99&gt;=10,5.0,2.5)),0)</f>
        <v/>
      </c>
      <c r="J99" s="22">
        <f>G99+IF(G99&gt;=20,7.5,IF(G99&gt;=10,5.0,2.5))</f>
        <v/>
      </c>
    </row>
    <row r="100">
      <c r="B100" s="9" t="inlineStr">
        <is>
          <t>주식</t>
        </is>
      </c>
      <c r="C100" s="19" t="inlineStr">
        <is>
          <t>유럽</t>
        </is>
      </c>
      <c r="D100" s="22" t="n">
        <v>13.5</v>
      </c>
      <c r="E100" s="23">
        <f>IF(D27&gt;=0.5,(J27-D27)/D27,J27-D27)</f>
        <v/>
      </c>
      <c r="F100" s="22">
        <f>MAX(IF(D27&gt;=0.5,D100*(1+E100),D100+E100),0)</f>
        <v/>
      </c>
      <c r="G100" s="24">
        <f>IF(IF(B100="주식",H97,I97)=0,0,F100/SUMIF($B$99:$B$106,B100,$F$99:$F$106)*IF(B100="주식",H97,I97))</f>
        <v/>
      </c>
      <c r="H100" s="23">
        <f>G100-D100</f>
        <v/>
      </c>
      <c r="I100" s="22">
        <f>MAX(G100-IF(G100&gt;=20,7.5,IF(G100&gt;=10,5.0,2.5)),0)</f>
        <v/>
      </c>
      <c r="J100" s="22">
        <f>G100+IF(G100&gt;=20,7.5,IF(G100&gt;=10,5.0,2.5))</f>
        <v/>
      </c>
    </row>
    <row r="101">
      <c r="B101" s="9" t="inlineStr">
        <is>
          <t>주식</t>
        </is>
      </c>
      <c r="C101" s="19" t="inlineStr">
        <is>
          <t>일본</t>
        </is>
      </c>
      <c r="D101" s="22" t="n">
        <v>4.5</v>
      </c>
      <c r="E101" s="23">
        <f>IF(D28&gt;=0.5,(J28-D28)/D28,J28-D28)</f>
        <v/>
      </c>
      <c r="F101" s="22">
        <f>MAX(IF(D28&gt;=0.5,D101*(1+E101),D101+E101),0)</f>
        <v/>
      </c>
      <c r="G101" s="24">
        <f>IF(IF(B101="주식",H97,I97)=0,0,F101/SUMIF($B$99:$B$106,B101,$F$99:$F$106)*IF(B101="주식",H97,I97))</f>
        <v/>
      </c>
      <c r="H101" s="23">
        <f>G101-D101</f>
        <v/>
      </c>
      <c r="I101" s="22">
        <f>MAX(G101-IF(G101&gt;=20,7.5,IF(G101&gt;=10,5.0,2.5)),0)</f>
        <v/>
      </c>
      <c r="J101" s="22">
        <f>G101+IF(G101&gt;=20,7.5,IF(G101&gt;=10,5.0,2.5))</f>
        <v/>
      </c>
    </row>
    <row r="102">
      <c r="B102" s="9" t="inlineStr">
        <is>
          <t>주식</t>
        </is>
      </c>
      <c r="C102" s="19" t="inlineStr">
        <is>
          <t>중국</t>
        </is>
      </c>
      <c r="D102" s="22" t="n">
        <v>2.7</v>
      </c>
      <c r="E102" s="23">
        <f>IF(D29&gt;=0.5,(J29-D29)/D29,J29-D29)</f>
        <v/>
      </c>
      <c r="F102" s="22">
        <f>MAX(IF(D29&gt;=0.5,D102*(1+E102),D102+E102),0)</f>
        <v/>
      </c>
      <c r="G102" s="24">
        <f>IF(IF(B102="주식",H97,I97)=0,0,F102/SUMIF($B$99:$B$106,B102,$F$99:$F$106)*IF(B102="주식",H97,I97))</f>
        <v/>
      </c>
      <c r="H102" s="23">
        <f>G102-D102</f>
        <v/>
      </c>
      <c r="I102" s="22">
        <f>MAX(G102-IF(G102&gt;=20,7.5,IF(G102&gt;=10,5.0,2.5)),0)</f>
        <v/>
      </c>
      <c r="J102" s="22">
        <f>G102+IF(G102&gt;=20,7.5,IF(G102&gt;=10,5.0,2.5))</f>
        <v/>
      </c>
    </row>
    <row r="103">
      <c r="B103" s="9" t="inlineStr">
        <is>
          <t>주식</t>
        </is>
      </c>
      <c r="C103" s="19" t="inlineStr">
        <is>
          <t>한국</t>
        </is>
      </c>
      <c r="D103" s="22" t="n">
        <v>4.5</v>
      </c>
      <c r="E103" s="23">
        <f>IF(D30&gt;=0.5,(J30-D30)/D30,J30-D30)</f>
        <v/>
      </c>
      <c r="F103" s="22">
        <f>MAX(IF(D30&gt;=0.5,D103*(1+E103),D103+E103),0)</f>
        <v/>
      </c>
      <c r="G103" s="24">
        <f>IF(IF(B103="주식",H97,I97)=0,0,F103/SUMIF($B$99:$B$106,B103,$F$99:$F$106)*IF(B103="주식",H97,I97))</f>
        <v/>
      </c>
      <c r="H103" s="23">
        <f>G103-D103</f>
        <v/>
      </c>
      <c r="I103" s="22">
        <f>MAX(G103-IF(G103&gt;=20,7.5,IF(G103&gt;=10,5.0,2.5)),0)</f>
        <v/>
      </c>
      <c r="J103" s="22">
        <f>G103+IF(G103&gt;=20,7.5,IF(G103&gt;=10,5.0,2.5))</f>
        <v/>
      </c>
    </row>
    <row r="104">
      <c r="B104" s="9" t="inlineStr">
        <is>
          <t>주식</t>
        </is>
      </c>
      <c r="C104" s="19" t="inlineStr">
        <is>
          <t>기타</t>
        </is>
      </c>
      <c r="D104" s="22" t="n">
        <v>1.8</v>
      </c>
      <c r="E104" s="23">
        <f>IF(D31&gt;=0.5,(J31-D31)/D31,J31-D31)</f>
        <v/>
      </c>
      <c r="F104" s="22">
        <f>MAX(IF(D31&gt;=0.5,D104*(1+E104),D104+E104),0)</f>
        <v/>
      </c>
      <c r="G104" s="24">
        <f>IF(IF(B104="주식",H97,I97)=0,0,F104/SUMIF($B$99:$B$106,B104,$F$99:$F$106)*IF(B104="주식",H97,I97))</f>
        <v/>
      </c>
      <c r="H104" s="23">
        <f>G104-D104</f>
        <v/>
      </c>
      <c r="I104" s="22">
        <f>MAX(G104-IF(G104&gt;=20,7.5,IF(G104&gt;=10,5.0,2.5)),0)</f>
        <v/>
      </c>
      <c r="J104" s="22">
        <f>G104+IF(G104&gt;=20,7.5,IF(G104&gt;=10,5.0,2.5))</f>
        <v/>
      </c>
    </row>
    <row r="105">
      <c r="B105" s="9" t="inlineStr">
        <is>
          <t>채권</t>
        </is>
      </c>
      <c r="C105" s="19" t="inlineStr">
        <is>
          <t>미국</t>
        </is>
      </c>
      <c r="D105" s="22" t="n">
        <v>7</v>
      </c>
      <c r="E105" s="23">
        <f>IF(D32&gt;=0.5,(J32-D32)/D32,J32-D32)</f>
        <v/>
      </c>
      <c r="F105" s="22">
        <f>MAX(IF(D32&gt;=0.5,D105*(1+E105),D105+E105),0)</f>
        <v/>
      </c>
      <c r="G105" s="24">
        <f>IF(IF(B105="주식",H97,I97)=0,0,F105/SUMIF($B$99:$B$106,B105,$F$99:$F$106)*IF(B105="주식",H97,I97))</f>
        <v/>
      </c>
      <c r="H105" s="23">
        <f>G105-D105</f>
        <v/>
      </c>
      <c r="I105" s="22">
        <f>MAX(G105-IF(G105&gt;=20,7.5,IF(G105&gt;=10,5.0,2.5)),0)</f>
        <v/>
      </c>
      <c r="J105" s="22">
        <f>G105+IF(G105&gt;=20,7.5,IF(G105&gt;=10,5.0,2.5))</f>
        <v/>
      </c>
    </row>
    <row r="106">
      <c r="B106" s="9" t="inlineStr">
        <is>
          <t>채권</t>
        </is>
      </c>
      <c r="C106" s="19" t="inlineStr">
        <is>
          <t>한국</t>
        </is>
      </c>
      <c r="D106" s="22" t="n">
        <v>3</v>
      </c>
      <c r="E106" s="23">
        <f>IF(D33&gt;=0.5,(J33-D33)/D33,J33-D33)</f>
        <v/>
      </c>
      <c r="F106" s="22">
        <f>MAX(IF(D33&gt;=0.5,D106*(1+E106),D106+E106),0)</f>
        <v/>
      </c>
      <c r="G106" s="24">
        <f>IF(IF(B106="주식",H97,I97)=0,0,F106/SUMIF($B$99:$B$106,B106,$F$99:$F$106)*IF(B106="주식",H97,I97))</f>
        <v/>
      </c>
      <c r="H106" s="23">
        <f>G106-D106</f>
        <v/>
      </c>
      <c r="I106" s="22">
        <f>MAX(G106-IF(G106&gt;=20,7.5,IF(G106&gt;=10,5.0,2.5)),0)</f>
        <v/>
      </c>
      <c r="J106" s="22">
        <f>G106+IF(G106&gt;=20,7.5,IF(G106&gt;=10,5.0,2.5))</f>
        <v/>
      </c>
    </row>
    <row r="107">
      <c r="B107" s="25" t="inlineStr">
        <is>
          <t>합계</t>
        </is>
      </c>
      <c r="D107" s="26">
        <f>SUM(D99:D106)</f>
        <v/>
      </c>
      <c r="G107" s="26">
        <f>SUM(G99:G106)</f>
        <v/>
      </c>
    </row>
  </sheetData>
  <mergeCells count="1">
    <mergeCell ref="B1:H1"/>
  </mergeCells>
  <dataValidations count="2">
    <dataValidation sqref="C10 C11" showDropDown="0" showInputMessage="0" showErrorMessage="0" allowBlank="1" type="list">
      <formula1>"Strong OW,Overweight,Neutral,Underweight,Strong UW"</formula1>
    </dataValidation>
    <dataValidation sqref="F15 F16 F17 F18 F19 F20 F21 F22" showDropDown="0" showInputMessage="0" showErrorMessage="0" allowBlank="1" type="list">
      <formula1>"Strong OW,Overweight,Neutral,Underweight,Strong UW"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2026-03-15T13:12:01Z</dcterms:created>
  <dcterms:modified xmlns:dcterms="http://purl.org/dc/terms/" xmlns:xsi="http://www.w3.org/2001/XMLSchema-instance" xsi:type="dcterms:W3CDTF">2026-03-15T13:12:01Z</dcterms:modified>
</cp:coreProperties>
</file>